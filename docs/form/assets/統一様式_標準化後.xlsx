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xl/activeX/activeX1.bin" ContentType="application/vnd.ms-office.activeX"/>
  <Override PartName="/xl/activeX/activeX3.xml" ContentType="application/vnd.ms-office.activeX+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120" yWindow="-120" windowWidth="29040" windowHeight="15720" tabRatio="760"/>
  </bookViews>
  <sheets>
    <sheet name="証明書" sheetId="3" r:id="rId1"/>
    <sheet name="印鑑" sheetId="4" r:id="rId2"/>
    <sheet name="マイナ暗証" sheetId="5" r:id="rId3"/>
    <sheet name="電子更新・新規" sheetId="12" r:id="rId4"/>
    <sheet name="マイナ紛失" sheetId="6" r:id="rId5"/>
    <sheet name="通知カード紛失" sheetId="11" r:id="rId6"/>
    <sheet name="マイナ券面（異動翌日以降）" sheetId="7" r:id="rId7"/>
    <sheet name="マイナ券面（異動日）" sheetId="9" r:id="rId8"/>
  </sheets>
  <definedNames>
    <definedName name="_xlnm.Print_Area" localSheetId="2">マイナ暗証!$A$1:$AN$64</definedName>
    <definedName name="_xlnm.Print_Area" localSheetId="7">'マイナ券面（異動日）'!$A$1:$AM$90</definedName>
    <definedName name="_xlnm.Print_Area" localSheetId="6">'マイナ券面（異動翌日以降）'!$A$1:$AM$90</definedName>
    <definedName name="_xlnm.Print_Area" localSheetId="4">マイナ紛失!$A$1:$AM$64</definedName>
    <definedName name="_xlnm.Print_Area" localSheetId="1">印鑑!$B$1:$S$38</definedName>
    <definedName name="_xlnm.Print_Area" localSheetId="0">証明書!$A$1:$P$51</definedName>
    <definedName name="_xlnm.Print_Area" localSheetId="3">電子更新・新規!$B$1:$Z$73</definedName>
    <definedName name="Z_A35F5B98_9B94_4847_B111_5994565B2C90_.wvu.PrintArea" localSheetId="2" hidden="1">マイナ暗証!$A$1:$AN$64</definedName>
    <definedName name="Z_A35F5B98_9B94_4847_B111_5994565B2C90_.wvu.PrintArea" localSheetId="7" hidden="1">'マイナ券面（異動日）'!$A$1:$AM$90</definedName>
    <definedName name="Z_A35F5B98_9B94_4847_B111_5994565B2C90_.wvu.PrintArea" localSheetId="6" hidden="1">'マイナ券面（異動翌日以降）'!$A$1:$AM$90</definedName>
    <definedName name="Z_A35F5B98_9B94_4847_B111_5994565B2C90_.wvu.PrintArea" localSheetId="4" hidden="1">マイナ紛失!$A$1:$AM$64</definedName>
    <definedName name="Z_A35F5B98_9B94_4847_B111_5994565B2C90_.wvu.PrintArea" localSheetId="1" hidden="1">印鑑!$B$1:$S$38</definedName>
    <definedName name="Z_A35F5B98_9B94_4847_B111_5994565B2C90_.wvu.PrintArea" localSheetId="0" hidden="1">証明書!$A$1:$P$51</definedName>
    <definedName name="Z_B49FCE62_7203_4C34_A051_738DE884AD97_.wvu.PrintArea" localSheetId="2" hidden="1">マイナ暗証!$A$1:$AN$64</definedName>
    <definedName name="Z_B49FCE62_7203_4C34_A051_738DE884AD97_.wvu.PrintArea" localSheetId="7" hidden="1">'マイナ券面（異動日）'!$A$1:$AM$90</definedName>
    <definedName name="Z_B49FCE62_7203_4C34_A051_738DE884AD97_.wvu.PrintArea" localSheetId="6" hidden="1">'マイナ券面（異動翌日以降）'!$A$1:$AM$90</definedName>
    <definedName name="Z_B49FCE62_7203_4C34_A051_738DE884AD97_.wvu.PrintArea" localSheetId="4" hidden="1">マイナ紛失!$A$1:$AM$64</definedName>
    <definedName name="Z_B49FCE62_7203_4C34_A051_738DE884AD97_.wvu.PrintArea" localSheetId="0" hidden="1">証明書!$A$1:$P$53</definedName>
  </definedNames>
  <calcPr calcId="162913"/>
  <customWorkbookViews>
    <customWorkbookView name="証明書印刷" guid="{A35F5B98-9B94-4847-B111-5994565B2C90}" maximized="1" xWindow="-8" yWindow="-8" windowWidth="1936" windowHeight="1056" activeSheetId="3"/>
    <customWorkbookView name="QR印刷" guid="{B49FCE62-7203-4C34-A051-738DE884AD97}" maximized="1" xWindow="-8" yWindow="-8" windowWidth="1936" windowHeight="1066"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6" i="4" l="1"/>
  <c r="M18" i="3"/>
  <c r="M16" i="3"/>
  <c r="AN3" i="3"/>
  <c r="C16" i="3" s="1"/>
  <c r="T10" i="9" l="1"/>
  <c r="T10" i="7"/>
  <c r="T10" i="11"/>
  <c r="T10" i="6"/>
  <c r="G22" i="12"/>
  <c r="T13" i="5"/>
  <c r="H5" i="4"/>
  <c r="D28" i="3"/>
  <c r="J14" i="3"/>
  <c r="J8" i="3"/>
  <c r="H17" i="5"/>
  <c r="G11" i="12"/>
  <c r="H14" i="11"/>
  <c r="N22" i="12"/>
  <c r="AG10" i="11"/>
  <c r="S23" i="12"/>
  <c r="H13" i="6"/>
  <c r="AG10" i="6"/>
  <c r="AD9" i="11"/>
  <c r="B10" i="3" l="1"/>
  <c r="AB24" i="3" l="1"/>
  <c r="AB23" i="3"/>
  <c r="AB35" i="3"/>
  <c r="AB33" i="3"/>
  <c r="AB31" i="3"/>
  <c r="AA31" i="3"/>
  <c r="Y39" i="3" l="1"/>
  <c r="X39" i="3"/>
  <c r="R39" i="3"/>
  <c r="T39" i="3"/>
  <c r="J39" i="3"/>
  <c r="AA35" i="3"/>
  <c r="AA33" i="3"/>
  <c r="AA23" i="3"/>
  <c r="H4" i="4" l="1"/>
  <c r="AF38" i="3" l="1"/>
  <c r="AA40" i="3"/>
  <c r="AA27" i="3"/>
  <c r="AF37" i="3" l="1"/>
  <c r="AF36" i="3"/>
  <c r="AF35" i="3"/>
  <c r="AF34" i="3"/>
  <c r="AF33" i="3"/>
  <c r="AF40" i="3"/>
  <c r="AF29" i="3"/>
  <c r="AF28" i="3"/>
  <c r="AF27" i="3"/>
  <c r="AF26" i="3"/>
  <c r="AF25" i="3"/>
  <c r="AF24" i="3"/>
  <c r="AF23" i="3"/>
  <c r="AA39" i="3"/>
  <c r="AA38" i="3"/>
  <c r="AA37" i="3"/>
  <c r="AA36" i="3"/>
  <c r="AA34" i="3"/>
  <c r="AA32" i="3"/>
  <c r="AA26" i="3"/>
  <c r="AA25" i="3"/>
  <c r="AF41" i="3" l="1"/>
  <c r="AA24" i="3"/>
  <c r="AA41" i="3" s="1"/>
  <c r="O27" i="3" l="1"/>
  <c r="W39" i="3" l="1"/>
  <c r="V39" i="3"/>
  <c r="U39" i="3"/>
  <c r="S39" i="3"/>
  <c r="L39" i="3" l="1"/>
  <c r="H12" i="9"/>
  <c r="AG10" i="9"/>
  <c r="AD9" i="9"/>
  <c r="H12" i="7"/>
  <c r="M9" i="4"/>
  <c r="AG10" i="7"/>
  <c r="AH13" i="5"/>
  <c r="R5" i="4"/>
  <c r="C19" i="3"/>
  <c r="AL3" i="3"/>
  <c r="C14" i="3"/>
  <c r="C13" i="3"/>
  <c r="G10" i="12" s="1"/>
  <c r="H20" i="5" l="1"/>
  <c r="H16" i="6"/>
  <c r="G16" i="12"/>
  <c r="H18" i="11"/>
  <c r="J27" i="7"/>
  <c r="H14" i="9"/>
  <c r="AD9" i="7"/>
  <c r="AD9" i="6"/>
  <c r="M12" i="4"/>
  <c r="AD12" i="5"/>
  <c r="R2" i="3" l="1"/>
  <c r="V3" i="3"/>
  <c r="C8" i="3"/>
  <c r="C7" i="3"/>
  <c r="J13" i="3" s="1"/>
  <c r="J7" i="3" l="1"/>
</calcChain>
</file>

<file path=xl/comments1.xml><?xml version="1.0" encoding="utf-8"?>
<comments xmlns="http://schemas.openxmlformats.org/spreadsheetml/2006/main">
  <authors>
    <author>作成者</author>
  </authors>
  <commentList>
    <comment ref="N26" authorId="0" shapeId="0">
      <text>
        <r>
          <rPr>
            <b/>
            <sz val="9"/>
            <color indexed="81"/>
            <rFont val="MS P ゴシック"/>
            <family val="3"/>
            <charset val="128"/>
          </rPr>
          <t>数字のみ</t>
        </r>
      </text>
    </comment>
    <comment ref="N27" authorId="0" shapeId="0">
      <text>
        <r>
          <rPr>
            <b/>
            <sz val="9"/>
            <color indexed="81"/>
            <rFont val="MS P ゴシック"/>
            <family val="3"/>
            <charset val="128"/>
          </rPr>
          <t>数字のみ</t>
        </r>
      </text>
    </comment>
    <comment ref="N37" authorId="0" shapeId="0">
      <text>
        <r>
          <rPr>
            <b/>
            <sz val="9"/>
            <color indexed="81"/>
            <rFont val="MS P ゴシック"/>
            <family val="3"/>
            <charset val="128"/>
          </rPr>
          <t>会計QRコードで表示されない</t>
        </r>
      </text>
    </comment>
    <comment ref="M38" authorId="0" shapeId="0">
      <text>
        <r>
          <rPr>
            <sz val="9"/>
            <color indexed="81"/>
            <rFont val="MS P ゴシック"/>
            <family val="3"/>
            <charset val="128"/>
          </rPr>
          <t>金額（数字）</t>
        </r>
      </text>
    </comment>
    <comment ref="N38" authorId="0" shapeId="0">
      <text>
        <r>
          <rPr>
            <b/>
            <sz val="9"/>
            <color indexed="81"/>
            <rFont val="MS P ゴシック"/>
            <family val="3"/>
            <charset val="128"/>
          </rPr>
          <t>会計QRコードで表示されない</t>
        </r>
      </text>
    </comment>
  </commentList>
</comments>
</file>

<file path=xl/sharedStrings.xml><?xml version="1.0" encoding="utf-8"?>
<sst xmlns="http://schemas.openxmlformats.org/spreadsheetml/2006/main" count="484" uniqueCount="291">
  <si>
    <t>●１．窓口に来られた方</t>
    <rPh sb="3" eb="5">
      <t>マドグチ</t>
    </rPh>
    <rPh sb="6" eb="7">
      <t>コ</t>
    </rPh>
    <rPh sb="10" eb="11">
      <t>カタ</t>
    </rPh>
    <phoneticPr fontId="18"/>
  </si>
  <si>
    <t>氏名</t>
    <rPh sb="0" eb="2">
      <t>シメイ</t>
    </rPh>
    <phoneticPr fontId="18"/>
  </si>
  <si>
    <t>住所</t>
    <rPh sb="0" eb="2">
      <t>ジュウショ</t>
    </rPh>
    <phoneticPr fontId="18"/>
  </si>
  <si>
    <t>生年月日</t>
    <rPh sb="0" eb="2">
      <t>セイネン</t>
    </rPh>
    <rPh sb="2" eb="4">
      <t>ガッピ</t>
    </rPh>
    <phoneticPr fontId="18"/>
  </si>
  <si>
    <t>申請日</t>
    <rPh sb="0" eb="2">
      <t>シンセイ</t>
    </rPh>
    <rPh sb="2" eb="3">
      <t>ビ</t>
    </rPh>
    <phoneticPr fontId="18"/>
  </si>
  <si>
    <t>フリガナ</t>
    <phoneticPr fontId="18"/>
  </si>
  <si>
    <t>●２．どなたの証明が必要ですか（証明対象者）</t>
    <rPh sb="7" eb="9">
      <t>ショウメイ</t>
    </rPh>
    <rPh sb="10" eb="12">
      <t>ヒツヨウ</t>
    </rPh>
    <rPh sb="16" eb="18">
      <t>ショウメイ</t>
    </rPh>
    <rPh sb="18" eb="21">
      <t>タイショウシャ</t>
    </rPh>
    <phoneticPr fontId="18"/>
  </si>
  <si>
    <t>本籍</t>
    <rPh sb="0" eb="2">
      <t>ホンセキ</t>
    </rPh>
    <phoneticPr fontId="18"/>
  </si>
  <si>
    <t>(記入不要)</t>
    <rPh sb="1" eb="3">
      <t>キニュウ</t>
    </rPh>
    <rPh sb="3" eb="5">
      <t>フヨウ</t>
    </rPh>
    <phoneticPr fontId="18"/>
  </si>
  <si>
    <t>□世帯全員(謄本)</t>
    <rPh sb="1" eb="3">
      <t>セタイ</t>
    </rPh>
    <rPh sb="3" eb="5">
      <t>ゼンイン</t>
    </rPh>
    <rPh sb="6" eb="8">
      <t>トウホン</t>
    </rPh>
    <phoneticPr fontId="18"/>
  </si>
  <si>
    <t>□世帯一部(抄本)</t>
    <rPh sb="1" eb="3">
      <t>セタイ</t>
    </rPh>
    <rPh sb="3" eb="5">
      <t>イチブ</t>
    </rPh>
    <rPh sb="6" eb="8">
      <t>ショウホン</t>
    </rPh>
    <phoneticPr fontId="18"/>
  </si>
  <si>
    <t>□記載事項証明</t>
    <rPh sb="1" eb="3">
      <t>キサイ</t>
    </rPh>
    <rPh sb="3" eb="5">
      <t>ジコウ</t>
    </rPh>
    <rPh sb="5" eb="7">
      <t>ショウメイ</t>
    </rPh>
    <phoneticPr fontId="18"/>
  </si>
  <si>
    <t>住民票</t>
    <rPh sb="0" eb="3">
      <t>ジュウミンヒョウ</t>
    </rPh>
    <phoneticPr fontId="18"/>
  </si>
  <si>
    <t>□戸籍全員(謄本)</t>
    <rPh sb="1" eb="3">
      <t>コセキ</t>
    </rPh>
    <rPh sb="3" eb="5">
      <t>ゼンイン</t>
    </rPh>
    <rPh sb="6" eb="8">
      <t>トウホン</t>
    </rPh>
    <phoneticPr fontId="18"/>
  </si>
  <si>
    <t>□戸籍一部(抄本)</t>
    <rPh sb="1" eb="3">
      <t>コセキ</t>
    </rPh>
    <rPh sb="3" eb="5">
      <t>イチブ</t>
    </rPh>
    <rPh sb="6" eb="8">
      <t>ショウホン</t>
    </rPh>
    <phoneticPr fontId="18"/>
  </si>
  <si>
    <t>□除籍全員(謄本)</t>
    <rPh sb="1" eb="3">
      <t>ジョセキ</t>
    </rPh>
    <rPh sb="3" eb="5">
      <t>ゼンイン</t>
    </rPh>
    <rPh sb="6" eb="8">
      <t>トウホン</t>
    </rPh>
    <phoneticPr fontId="18"/>
  </si>
  <si>
    <t>□除籍一部(抄本)</t>
    <rPh sb="1" eb="3">
      <t>ジョセキ</t>
    </rPh>
    <rPh sb="3" eb="5">
      <t>イチブ</t>
    </rPh>
    <rPh sb="6" eb="8">
      <t>ショウホン</t>
    </rPh>
    <phoneticPr fontId="18"/>
  </si>
  <si>
    <t>□改製原(平成・昭和)</t>
    <rPh sb="1" eb="3">
      <t>カイセイ</t>
    </rPh>
    <rPh sb="3" eb="4">
      <t>ハラ</t>
    </rPh>
    <rPh sb="5" eb="7">
      <t>ヘイセイ</t>
    </rPh>
    <rPh sb="8" eb="10">
      <t>ショウワ</t>
    </rPh>
    <phoneticPr fontId="18"/>
  </si>
  <si>
    <t>□附票(現在・改製原・除票)</t>
    <rPh sb="1" eb="3">
      <t>フヒョウ</t>
    </rPh>
    <rPh sb="4" eb="6">
      <t>ゲンザイ</t>
    </rPh>
    <rPh sb="7" eb="9">
      <t>カイセイ</t>
    </rPh>
    <rPh sb="9" eb="10">
      <t>ハラ</t>
    </rPh>
    <rPh sb="11" eb="13">
      <t>ジョヒョウ</t>
    </rPh>
    <phoneticPr fontId="18"/>
  </si>
  <si>
    <t>□身分証明書</t>
    <rPh sb="1" eb="3">
      <t>ミブン</t>
    </rPh>
    <rPh sb="3" eb="5">
      <t>ショウメイ</t>
    </rPh>
    <rPh sb="5" eb="6">
      <t>ショ</t>
    </rPh>
    <phoneticPr fontId="18"/>
  </si>
  <si>
    <t>戸籍に関する証明</t>
    <rPh sb="0" eb="2">
      <t>コセキ</t>
    </rPh>
    <rPh sb="3" eb="4">
      <t>カン</t>
    </rPh>
    <rPh sb="6" eb="8">
      <t>ショウメイ</t>
    </rPh>
    <phoneticPr fontId="18"/>
  </si>
  <si>
    <t>□印鑑証明書</t>
    <rPh sb="1" eb="3">
      <t>インカン</t>
    </rPh>
    <rPh sb="3" eb="6">
      <t>ショウメイショ</t>
    </rPh>
    <phoneticPr fontId="18"/>
  </si>
  <si>
    <t>●３．申請する証明書</t>
    <rPh sb="3" eb="5">
      <t>シンセイ</t>
    </rPh>
    <rPh sb="7" eb="9">
      <t>ショウメイ</t>
    </rPh>
    <rPh sb="9" eb="10">
      <t>ショ</t>
    </rPh>
    <phoneticPr fontId="18"/>
  </si>
  <si>
    <t>無料</t>
    <rPh sb="0" eb="2">
      <t>ムリョウ</t>
    </rPh>
    <phoneticPr fontId="18"/>
  </si>
  <si>
    <t>□課税証明</t>
    <rPh sb="1" eb="3">
      <t>カゼイ</t>
    </rPh>
    <rPh sb="3" eb="5">
      <t>ショウメイ</t>
    </rPh>
    <phoneticPr fontId="18"/>
  </si>
  <si>
    <t>□納税証明</t>
    <rPh sb="1" eb="3">
      <t>ノウゼイ</t>
    </rPh>
    <rPh sb="3" eb="5">
      <t>ショウメイ</t>
    </rPh>
    <phoneticPr fontId="18"/>
  </si>
  <si>
    <t>□所得証明</t>
    <rPh sb="1" eb="3">
      <t>ショトク</t>
    </rPh>
    <rPh sb="3" eb="5">
      <t>ショウメイ</t>
    </rPh>
    <phoneticPr fontId="18"/>
  </si>
  <si>
    <t>□評価証明</t>
    <rPh sb="1" eb="3">
      <t>ヒョウカ</t>
    </rPh>
    <rPh sb="3" eb="5">
      <t>ショウメイ</t>
    </rPh>
    <phoneticPr fontId="18"/>
  </si>
  <si>
    <t>□所有証明</t>
    <rPh sb="1" eb="3">
      <t>ショユウ</t>
    </rPh>
    <rPh sb="3" eb="5">
      <t>ショウメイ</t>
    </rPh>
    <phoneticPr fontId="18"/>
  </si>
  <si>
    <t>□営業証明</t>
    <rPh sb="1" eb="3">
      <t>エイギョウ</t>
    </rPh>
    <rPh sb="3" eb="5">
      <t>ショウメイ</t>
    </rPh>
    <phoneticPr fontId="18"/>
  </si>
  <si>
    <t>□公課証明</t>
    <rPh sb="1" eb="3">
      <t>コウカ</t>
    </rPh>
    <rPh sb="3" eb="5">
      <t>ショウメイ</t>
    </rPh>
    <phoneticPr fontId="18"/>
  </si>
  <si>
    <t>□年金現況届</t>
    <rPh sb="1" eb="3">
      <t>ネンキン</t>
    </rPh>
    <rPh sb="3" eb="5">
      <t>ゲンキョウ</t>
    </rPh>
    <rPh sb="5" eb="6">
      <t>トドケ</t>
    </rPh>
    <phoneticPr fontId="18"/>
  </si>
  <si>
    <t>□不在証明</t>
    <rPh sb="1" eb="3">
      <t>フザイ</t>
    </rPh>
    <rPh sb="3" eb="5">
      <t>ショウメイ</t>
    </rPh>
    <phoneticPr fontId="18"/>
  </si>
  <si>
    <t>□受理証明</t>
    <rPh sb="1" eb="3">
      <t>ジュリ</t>
    </rPh>
    <rPh sb="3" eb="5">
      <t>ショウメイ</t>
    </rPh>
    <phoneticPr fontId="18"/>
  </si>
  <si>
    <t>□外国人登録済証明</t>
    <rPh sb="1" eb="3">
      <t>ガイコク</t>
    </rPh>
    <rPh sb="3" eb="4">
      <t>ジン</t>
    </rPh>
    <rPh sb="4" eb="6">
      <t>トウロク</t>
    </rPh>
    <rPh sb="6" eb="7">
      <t>ズ</t>
    </rPh>
    <rPh sb="7" eb="9">
      <t>ショウメイ</t>
    </rPh>
    <phoneticPr fontId="18"/>
  </si>
  <si>
    <t>生年月日</t>
    <phoneticPr fontId="18"/>
  </si>
  <si>
    <t>　１筆増すごとに加算</t>
    <rPh sb="2" eb="3">
      <t>ヒツ</t>
    </rPh>
    <rPh sb="3" eb="4">
      <t>マ</t>
    </rPh>
    <rPh sb="8" eb="10">
      <t>カサン</t>
    </rPh>
    <phoneticPr fontId="18"/>
  </si>
  <si>
    <t>通</t>
    <rPh sb="0" eb="1">
      <t>ツウ</t>
    </rPh>
    <phoneticPr fontId="18"/>
  </si>
  <si>
    <t>芽室町　証明交付申請書</t>
    <rPh sb="0" eb="3">
      <t>メムロチョウ</t>
    </rPh>
    <rPh sb="4" eb="6">
      <t>ショウメイ</t>
    </rPh>
    <rPh sb="6" eb="8">
      <t>コウフ</t>
    </rPh>
    <rPh sb="8" eb="11">
      <t>シンセイショ</t>
    </rPh>
    <phoneticPr fontId="18"/>
  </si>
  <si>
    <t>芽室町長様</t>
    <rPh sb="0" eb="3">
      <t>メムロチョウ</t>
    </rPh>
    <rPh sb="3" eb="4">
      <t>チョウ</t>
    </rPh>
    <rPh sb="4" eb="5">
      <t>サマ</t>
    </rPh>
    <phoneticPr fontId="18"/>
  </si>
  <si>
    <t>下記のとおり申請いたします。</t>
    <rPh sb="0" eb="2">
      <t>カキ</t>
    </rPh>
    <rPh sb="6" eb="8">
      <t>シンセイ</t>
    </rPh>
    <phoneticPr fontId="18"/>
  </si>
  <si>
    <t>世帯主</t>
    <rPh sb="0" eb="3">
      <t>セタイヌシ</t>
    </rPh>
    <phoneticPr fontId="18"/>
  </si>
  <si>
    <t>□１と同じ</t>
    <phoneticPr fontId="18"/>
  </si>
  <si>
    <t>(記入不要)</t>
    <phoneticPr fontId="18"/>
  </si>
  <si>
    <t>※戸籍に関する証明が必要な場合のみ記載してください</t>
    <phoneticPr fontId="18"/>
  </si>
  <si>
    <t>筆頭者</t>
    <phoneticPr fontId="18"/>
  </si>
  <si>
    <t>申請者からみた
続柄</t>
    <rPh sb="0" eb="3">
      <t>シンセイシャ</t>
    </rPh>
    <rPh sb="8" eb="10">
      <t>ツヅキガラ</t>
    </rPh>
    <phoneticPr fontId="18"/>
  </si>
  <si>
    <t>□償却資産課税台帳</t>
    <rPh sb="1" eb="3">
      <t>ショウキャク</t>
    </rPh>
    <rPh sb="3" eb="5">
      <t>シサン</t>
    </rPh>
    <rPh sb="5" eb="7">
      <t>カゼイ</t>
    </rPh>
    <rPh sb="7" eb="9">
      <t>ダイチョウ</t>
    </rPh>
    <phoneticPr fontId="18"/>
  </si>
  <si>
    <t>印鑑
証明</t>
    <rPh sb="0" eb="2">
      <t>インカン</t>
    </rPh>
    <rPh sb="3" eb="5">
      <t>ショウメイ</t>
    </rPh>
    <phoneticPr fontId="18"/>
  </si>
  <si>
    <t>使用
目的</t>
    <rPh sb="0" eb="2">
      <t>シヨウ</t>
    </rPh>
    <rPh sb="3" eb="5">
      <t>モクテキ</t>
    </rPh>
    <phoneticPr fontId="18"/>
  </si>
  <si>
    <t>□その他(　　　　　　　　　)</t>
    <rPh sb="3" eb="4">
      <t>タ</t>
    </rPh>
    <phoneticPr fontId="18"/>
  </si>
  <si>
    <t>合計</t>
    <rPh sb="0" eb="2">
      <t>ゴウケイ</t>
    </rPh>
    <phoneticPr fontId="18"/>
  </si>
  <si>
    <t>通</t>
    <rPh sb="0" eb="1">
      <t>ツウ</t>
    </rPh>
    <phoneticPr fontId="18"/>
  </si>
  <si>
    <t>円</t>
    <rPh sb="0" eb="1">
      <t>エン</t>
    </rPh>
    <phoneticPr fontId="18"/>
  </si>
  <si>
    <t>担当</t>
    <rPh sb="0" eb="2">
      <t>タントウ</t>
    </rPh>
    <phoneticPr fontId="18"/>
  </si>
  <si>
    <t>各種
証明</t>
    <phoneticPr fontId="18"/>
  </si>
  <si>
    <t>税に
関する証明</t>
    <rPh sb="0" eb="1">
      <t>ゼイ</t>
    </rPh>
    <rPh sb="3" eb="4">
      <t>カン</t>
    </rPh>
    <rPh sb="6" eb="8">
      <t>ショウメイ</t>
    </rPh>
    <phoneticPr fontId="18"/>
  </si>
  <si>
    <t>□除票（謄本）</t>
    <rPh sb="1" eb="3">
      <t>ジョヒョウ</t>
    </rPh>
    <rPh sb="4" eb="6">
      <t>トウホン</t>
    </rPh>
    <phoneticPr fontId="18"/>
  </si>
  <si>
    <t>□除票（抄本）</t>
    <rPh sb="1" eb="3">
      <t>ジョヒョウ</t>
    </rPh>
    <rPh sb="4" eb="6">
      <t>ショウホン</t>
    </rPh>
    <phoneticPr fontId="18"/>
  </si>
  <si>
    <t>□固定資産明細書再発行</t>
    <rPh sb="1" eb="3">
      <t>コテイ</t>
    </rPh>
    <rPh sb="3" eb="5">
      <t>シサン</t>
    </rPh>
    <rPh sb="5" eb="8">
      <t>メイサイショ</t>
    </rPh>
    <rPh sb="8" eb="11">
      <t>サイハッコウ</t>
    </rPh>
    <phoneticPr fontId="18"/>
  </si>
  <si>
    <t>□１と同じ
(記入不要)</t>
    <rPh sb="3" eb="4">
      <t>オナ</t>
    </rPh>
    <rPh sb="7" eb="9">
      <t>キニュウ</t>
    </rPh>
    <rPh sb="9" eb="11">
      <t>フヨウ</t>
    </rPh>
    <phoneticPr fontId="18"/>
  </si>
  <si>
    <t>□１の住所と同じ
　(記入不要)</t>
    <rPh sb="3" eb="5">
      <t>ジュウショ</t>
    </rPh>
    <rPh sb="6" eb="7">
      <t>オナ</t>
    </rPh>
    <rPh sb="11" eb="13">
      <t>キニュウ</t>
    </rPh>
    <rPh sb="13" eb="15">
      <t>フヨウ</t>
    </rPh>
    <phoneticPr fontId="18"/>
  </si>
  <si>
    <t>本人
確認</t>
    <rPh sb="0" eb="2">
      <t>ホンニン</t>
    </rPh>
    <rPh sb="3" eb="5">
      <t>カクニン</t>
    </rPh>
    <phoneticPr fontId="18"/>
  </si>
  <si>
    <t>□年金・恩給　□免許・資格取得　□学校・就職　□登記　□相続　□パスポート　□車の購入・名義変更・廃車
□その他（　　　　　　　　　　　　　　　　　　　　　　　　　　　　　　　　　　　　　　　　　　　　　　　　　　　　　　　　　　　　　　　　　　　　　　　　　　　　　）</t>
    <rPh sb="1" eb="3">
      <t>ネンキン</t>
    </rPh>
    <rPh sb="4" eb="6">
      <t>オンキュウ</t>
    </rPh>
    <rPh sb="8" eb="10">
      <t>メンキョ</t>
    </rPh>
    <rPh sb="11" eb="13">
      <t>シカク</t>
    </rPh>
    <rPh sb="13" eb="15">
      <t>シュトク</t>
    </rPh>
    <rPh sb="17" eb="19">
      <t>ガッコウ</t>
    </rPh>
    <rPh sb="20" eb="22">
      <t>シュウショク</t>
    </rPh>
    <rPh sb="24" eb="26">
      <t>トウキ</t>
    </rPh>
    <rPh sb="28" eb="30">
      <t>ソウゾク</t>
    </rPh>
    <rPh sb="39" eb="40">
      <t>クルマ</t>
    </rPh>
    <rPh sb="41" eb="43">
      <t>コウニュウ</t>
    </rPh>
    <rPh sb="44" eb="46">
      <t>メイギ</t>
    </rPh>
    <rPh sb="46" eb="48">
      <t>ヘンコウ</t>
    </rPh>
    <rPh sb="49" eb="51">
      <t>ハイシャ</t>
    </rPh>
    <phoneticPr fontId="18"/>
  </si>
  <si>
    <t>(広域交付)</t>
    <rPh sb="1" eb="3">
      <t>コウイキ</t>
    </rPh>
    <rPh sb="3" eb="5">
      <t>コウフ</t>
    </rPh>
    <phoneticPr fontId="18"/>
  </si>
  <si>
    <r>
      <rPr>
        <sz val="14"/>
        <color theme="1"/>
        <rFont val="BIZ UDPゴシック"/>
        <family val="3"/>
        <charset val="128"/>
      </rPr>
      <t>■いずれかを選択</t>
    </r>
    <r>
      <rPr>
        <sz val="11"/>
        <color theme="1"/>
        <rFont val="BIZ UDPゴシック"/>
        <family val="3"/>
        <charset val="128"/>
      </rPr>
      <t xml:space="preserve">
　　　　　　  </t>
    </r>
    <r>
      <rPr>
        <sz val="16"/>
        <color theme="1"/>
        <rFont val="BIZ UDPゴシック"/>
        <family val="3"/>
        <charset val="128"/>
      </rPr>
      <t xml:space="preserve">本籍・筆頭者の記載　 　 　
　　　　　世帯主・続柄　　　　　　　   
　　　　　個人番号　　　　　　　　　　　
　　　　　住民票コード　　　　　　　　 
</t>
    </r>
    <rPh sb="6" eb="8">
      <t>センタク</t>
    </rPh>
    <rPh sb="17" eb="19">
      <t>ホンセキ</t>
    </rPh>
    <rPh sb="20" eb="23">
      <t>ヒットウシャ</t>
    </rPh>
    <rPh sb="24" eb="26">
      <t>キサイ</t>
    </rPh>
    <rPh sb="37" eb="40">
      <t>セタイヌシ</t>
    </rPh>
    <rPh sb="41" eb="43">
      <t>ツヅキガラ</t>
    </rPh>
    <rPh sb="59" eb="61">
      <t>コジン</t>
    </rPh>
    <rPh sb="61" eb="63">
      <t>バンゴウ</t>
    </rPh>
    <rPh sb="80" eb="83">
      <t>ジュウミンヒョウ</t>
    </rPh>
    <phoneticPr fontId="18"/>
  </si>
  <si>
    <t>合計
　　　　　　　　　円</t>
    <rPh sb="0" eb="2">
      <t>ゴウケイ</t>
    </rPh>
    <rPh sb="14" eb="15">
      <t>エン</t>
    </rPh>
    <phoneticPr fontId="18"/>
  </si>
  <si>
    <t>住民コード</t>
    <rPh sb="0" eb="2">
      <t>ジュウミン</t>
    </rPh>
    <phoneticPr fontId="18"/>
  </si>
  <si>
    <t>筆頭者</t>
    <rPh sb="0" eb="3">
      <t>ヒットウシャ</t>
    </rPh>
    <phoneticPr fontId="18"/>
  </si>
  <si>
    <t>□１と同じ</t>
    <rPh sb="3" eb="4">
      <t>オナ</t>
    </rPh>
    <phoneticPr fontId="18"/>
  </si>
  <si>
    <t>生年月日</t>
    <rPh sb="0" eb="4">
      <t>セイネンガッピ</t>
    </rPh>
    <phoneticPr fontId="18"/>
  </si>
  <si>
    <t>カナ氏名</t>
    <rPh sb="2" eb="4">
      <t>シメイ</t>
    </rPh>
    <phoneticPr fontId="18"/>
  </si>
  <si>
    <t>世帯主名</t>
    <rPh sb="0" eb="3">
      <t>セタイヌシ</t>
    </rPh>
    <rPh sb="3" eb="4">
      <t>メイ</t>
    </rPh>
    <phoneticPr fontId="18"/>
  </si>
  <si>
    <t>番地</t>
    <rPh sb="0" eb="2">
      <t>バンチ</t>
    </rPh>
    <phoneticPr fontId="18"/>
  </si>
  <si>
    <t>方書</t>
    <rPh sb="0" eb="2">
      <t>カタガキ</t>
    </rPh>
    <phoneticPr fontId="18"/>
  </si>
  <si>
    <t>世帯コード</t>
    <rPh sb="0" eb="2">
      <t>セタイ</t>
    </rPh>
    <phoneticPr fontId="18"/>
  </si>
  <si>
    <t>住所FULL</t>
    <rPh sb="0" eb="2">
      <t>ジュウショ</t>
    </rPh>
    <phoneticPr fontId="18"/>
  </si>
  <si>
    <t>世帯主名</t>
    <rPh sb="0" eb="3">
      <t>セタイヌシ</t>
    </rPh>
    <rPh sb="3" eb="4">
      <t>メイ</t>
    </rPh>
    <phoneticPr fontId="18"/>
  </si>
  <si>
    <t>（第１号様式）</t>
    <rPh sb="1" eb="2">
      <t>ダイ</t>
    </rPh>
    <rPh sb="3" eb="4">
      <t>ゴウ</t>
    </rPh>
    <rPh sb="4" eb="6">
      <t>ヨウシキ</t>
    </rPh>
    <phoneticPr fontId="18"/>
  </si>
  <si>
    <t>印鑑登録原票</t>
    <rPh sb="0" eb="2">
      <t>インカン</t>
    </rPh>
    <rPh sb="2" eb="4">
      <t>トウロク</t>
    </rPh>
    <rPh sb="4" eb="6">
      <t>ゲンピョウ</t>
    </rPh>
    <phoneticPr fontId="18"/>
  </si>
  <si>
    <t>登録印鑑</t>
    <rPh sb="0" eb="2">
      <t>トウロク</t>
    </rPh>
    <rPh sb="2" eb="4">
      <t>インカン</t>
    </rPh>
    <phoneticPr fontId="18"/>
  </si>
  <si>
    <t>大正・昭和・平成</t>
    <rPh sb="0" eb="2">
      <t>タイショウ</t>
    </rPh>
    <rPh sb="3" eb="5">
      <t>ショウワ</t>
    </rPh>
    <rPh sb="6" eb="8">
      <t>ヘイセイ</t>
    </rPh>
    <phoneticPr fontId="18"/>
  </si>
  <si>
    <t>年</t>
    <rPh sb="0" eb="1">
      <t>ネン</t>
    </rPh>
    <phoneticPr fontId="18"/>
  </si>
  <si>
    <t>月</t>
    <rPh sb="0" eb="1">
      <t>ガツ</t>
    </rPh>
    <phoneticPr fontId="18"/>
  </si>
  <si>
    <t>日</t>
    <rPh sb="0" eb="1">
      <t>ニチ</t>
    </rPh>
    <phoneticPr fontId="18"/>
  </si>
  <si>
    <t>性別</t>
    <rPh sb="0" eb="2">
      <t>セイベツ</t>
    </rPh>
    <phoneticPr fontId="18"/>
  </si>
  <si>
    <t>　印鑑登録番号</t>
    <rPh sb="1" eb="3">
      <t>インカン</t>
    </rPh>
    <rPh sb="3" eb="5">
      <t>トウロク</t>
    </rPh>
    <rPh sb="5" eb="7">
      <t>バンゴウ</t>
    </rPh>
    <phoneticPr fontId="18"/>
  </si>
  <si>
    <t>　登録年月日</t>
    <rPh sb="1" eb="3">
      <t>トウロク</t>
    </rPh>
    <rPh sb="3" eb="6">
      <t>ネンガッピ</t>
    </rPh>
    <phoneticPr fontId="18"/>
  </si>
  <si>
    <t>　北海道河西郡芽室町長　様</t>
    <rPh sb="1" eb="4">
      <t>ホッカイドウ</t>
    </rPh>
    <rPh sb="4" eb="7">
      <t>カサイグン</t>
    </rPh>
    <rPh sb="7" eb="10">
      <t>メムロチョウ</t>
    </rPh>
    <rPh sb="10" eb="11">
      <t>チョウ</t>
    </rPh>
    <rPh sb="12" eb="13">
      <t>サマ</t>
    </rPh>
    <phoneticPr fontId="18"/>
  </si>
  <si>
    <t>　□印鑑登録申請書</t>
    <rPh sb="2" eb="4">
      <t>インカン</t>
    </rPh>
    <rPh sb="4" eb="6">
      <t>トウロク</t>
    </rPh>
    <rPh sb="6" eb="9">
      <t>シンセイショ</t>
    </rPh>
    <phoneticPr fontId="18"/>
  </si>
  <si>
    <r>
      <t xml:space="preserve">　□印鑑登録廃止申請書 </t>
    </r>
    <r>
      <rPr>
        <sz val="9"/>
        <color theme="1"/>
        <rFont val="BIZ UDP明朝 Medium"/>
        <family val="1"/>
        <charset val="128"/>
      </rPr>
      <t>（１  印鑑亡失　２  登録証亡失　３  改印　４ その他　　　　　　　　　）</t>
    </r>
    <rPh sb="2" eb="6">
      <t>インカントウロク</t>
    </rPh>
    <rPh sb="6" eb="8">
      <t>ハイシ</t>
    </rPh>
    <rPh sb="8" eb="11">
      <t>シンセイショ</t>
    </rPh>
    <rPh sb="16" eb="18">
      <t>インカン</t>
    </rPh>
    <rPh sb="18" eb="20">
      <t>ボウシツ</t>
    </rPh>
    <rPh sb="24" eb="26">
      <t>トウロク</t>
    </rPh>
    <rPh sb="26" eb="27">
      <t>ショウ</t>
    </rPh>
    <rPh sb="27" eb="29">
      <t>ボウシツ</t>
    </rPh>
    <rPh sb="33" eb="35">
      <t>カイイン</t>
    </rPh>
    <rPh sb="40" eb="41">
      <t>タ</t>
    </rPh>
    <phoneticPr fontId="18"/>
  </si>
  <si>
    <t>申
請
人</t>
    <rPh sb="0" eb="1">
      <t>シン</t>
    </rPh>
    <rPh sb="2" eb="3">
      <t>セイ</t>
    </rPh>
    <rPh sb="4" eb="5">
      <t>ニン</t>
    </rPh>
    <phoneticPr fontId="18"/>
  </si>
  <si>
    <t>　□本人</t>
    <rPh sb="2" eb="4">
      <t>ホンニン</t>
    </rPh>
    <phoneticPr fontId="18"/>
  </si>
  <si>
    <t>　□代理人</t>
    <rPh sb="2" eb="5">
      <t>ダイリニン</t>
    </rPh>
    <phoneticPr fontId="18"/>
  </si>
  <si>
    <t>　署名</t>
    <rPh sb="1" eb="3">
      <t>ショメイ</t>
    </rPh>
    <phoneticPr fontId="18"/>
  </si>
  <si>
    <t>　氏名</t>
    <rPh sb="1" eb="3">
      <t>シメイ</t>
    </rPh>
    <phoneticPr fontId="18"/>
  </si>
  <si>
    <t>　生年月日</t>
    <rPh sb="1" eb="5">
      <t>セイネンガッピ</t>
    </rPh>
    <phoneticPr fontId="18"/>
  </si>
  <si>
    <t>　住所</t>
    <rPh sb="1" eb="3">
      <t>ジュウショ</t>
    </rPh>
    <phoneticPr fontId="18"/>
  </si>
  <si>
    <t>　電話番号</t>
    <rPh sb="1" eb="5">
      <t>デンワバンゴウ</t>
    </rPh>
    <phoneticPr fontId="18"/>
  </si>
  <si>
    <t>自動交付機の利用を希望する場合は、下記に暗証番号をご記入ください。</t>
    <rPh sb="0" eb="2">
      <t>ジドウ</t>
    </rPh>
    <rPh sb="2" eb="4">
      <t>コウフ</t>
    </rPh>
    <rPh sb="4" eb="5">
      <t>キ</t>
    </rPh>
    <rPh sb="6" eb="8">
      <t>リヨウ</t>
    </rPh>
    <rPh sb="9" eb="11">
      <t>キボウ</t>
    </rPh>
    <rPh sb="13" eb="15">
      <t>バアイ</t>
    </rPh>
    <rPh sb="17" eb="19">
      <t>カキ</t>
    </rPh>
    <rPh sb="20" eb="22">
      <t>アンショウ</t>
    </rPh>
    <rPh sb="22" eb="24">
      <t>バンゴウ</t>
    </rPh>
    <rPh sb="26" eb="28">
      <t>キニュウ</t>
    </rPh>
    <phoneticPr fontId="18"/>
  </si>
  <si>
    <t>※４けたの数字で設定してください。</t>
    <rPh sb="5" eb="7">
      <t>スウジ</t>
    </rPh>
    <rPh sb="8" eb="10">
      <t>セッテイ</t>
    </rPh>
    <phoneticPr fontId="18"/>
  </si>
  <si>
    <t>●</t>
    <phoneticPr fontId="18"/>
  </si>
  <si>
    <t>（事務処理欄）</t>
    <rPh sb="1" eb="3">
      <t>ジム</t>
    </rPh>
    <rPh sb="3" eb="5">
      <t>ショリ</t>
    </rPh>
    <rPh sb="5" eb="6">
      <t>ラン</t>
    </rPh>
    <phoneticPr fontId="18"/>
  </si>
  <si>
    <t>本
人
確
認</t>
    <rPh sb="0" eb="1">
      <t>モト</t>
    </rPh>
    <rPh sb="2" eb="3">
      <t>ニン</t>
    </rPh>
    <rPh sb="4" eb="5">
      <t>カク</t>
    </rPh>
    <rPh sb="6" eb="7">
      <t>ニン</t>
    </rPh>
    <phoneticPr fontId="18"/>
  </si>
  <si>
    <t>□マイナンバーカード</t>
    <phoneticPr fontId="18"/>
  </si>
  <si>
    <t>□健康保険証</t>
    <rPh sb="1" eb="3">
      <t>ケンコウ</t>
    </rPh>
    <rPh sb="3" eb="6">
      <t>ホケンショウ</t>
    </rPh>
    <phoneticPr fontId="18"/>
  </si>
  <si>
    <t>　□本人回答</t>
    <rPh sb="2" eb="4">
      <t>ホンニン</t>
    </rPh>
    <rPh sb="4" eb="6">
      <t>カイトウ</t>
    </rPh>
    <phoneticPr fontId="18"/>
  </si>
  <si>
    <t>旧印鑑登録番号</t>
    <rPh sb="0" eb="1">
      <t>キュウ</t>
    </rPh>
    <rPh sb="1" eb="3">
      <t>インカン</t>
    </rPh>
    <rPh sb="3" eb="5">
      <t>トウロク</t>
    </rPh>
    <rPh sb="5" eb="7">
      <t>バンゴウ</t>
    </rPh>
    <phoneticPr fontId="18"/>
  </si>
  <si>
    <t>□運転免許証</t>
    <rPh sb="1" eb="6">
      <t>ウンテンメンキョショウ</t>
    </rPh>
    <phoneticPr fontId="18"/>
  </si>
  <si>
    <t>□介護保険証</t>
    <rPh sb="1" eb="6">
      <t>カイゴホケンショウ</t>
    </rPh>
    <phoneticPr fontId="18"/>
  </si>
  <si>
    <t>　□代理人回答</t>
    <rPh sb="2" eb="5">
      <t>ダイリニン</t>
    </rPh>
    <rPh sb="5" eb="7">
      <t>カイトウ</t>
    </rPh>
    <phoneticPr fontId="18"/>
  </si>
  <si>
    <t>□パスポート</t>
    <phoneticPr fontId="18"/>
  </si>
  <si>
    <t>□年金手帳</t>
    <rPh sb="1" eb="3">
      <t>ネンキン</t>
    </rPh>
    <rPh sb="3" eb="5">
      <t>テチョウ</t>
    </rPh>
    <phoneticPr fontId="18"/>
  </si>
  <si>
    <t>□身体障害者手帳</t>
    <rPh sb="1" eb="8">
      <t>シンタイショウガイシャテチョウ</t>
    </rPh>
    <phoneticPr fontId="18"/>
  </si>
  <si>
    <t>□その他</t>
    <rPh sb="3" eb="4">
      <t>タ</t>
    </rPh>
    <phoneticPr fontId="18"/>
  </si>
  <si>
    <t>自動交付機利用</t>
    <rPh sb="0" eb="2">
      <t>ジドウ</t>
    </rPh>
    <rPh sb="2" eb="4">
      <t>コウフ</t>
    </rPh>
    <rPh sb="4" eb="5">
      <t>キ</t>
    </rPh>
    <rPh sb="5" eb="7">
      <t>リヨウ</t>
    </rPh>
    <phoneticPr fontId="18"/>
  </si>
  <si>
    <t>□在留カード</t>
    <rPh sb="1" eb="3">
      <t>ザイリュウ</t>
    </rPh>
    <phoneticPr fontId="18"/>
  </si>
  <si>
    <t>個人番号カード暗証番号変更・再設定</t>
    <rPh sb="7" eb="9">
      <t>アンショウ</t>
    </rPh>
    <rPh sb="9" eb="11">
      <t>バンゴウ</t>
    </rPh>
    <rPh sb="11" eb="13">
      <t>ヘンコウ</t>
    </rPh>
    <rPh sb="14" eb="17">
      <t>サイセッテイ</t>
    </rPh>
    <phoneticPr fontId="32"/>
  </si>
  <si>
    <t>電子証明書暗証番号変更・再設定</t>
    <rPh sb="5" eb="7">
      <t>アンショウ</t>
    </rPh>
    <rPh sb="7" eb="9">
      <t>バンゴウ</t>
    </rPh>
    <rPh sb="12" eb="15">
      <t>サイセッテイ</t>
    </rPh>
    <phoneticPr fontId="32"/>
  </si>
  <si>
    <t>申請書</t>
    <rPh sb="0" eb="3">
      <t>シンセイショ</t>
    </rPh>
    <phoneticPr fontId="32"/>
  </si>
  <si>
    <t>芽室町長　様</t>
    <rPh sb="0" eb="3">
      <t>メムロチョウ</t>
    </rPh>
    <rPh sb="3" eb="4">
      <t>チョウ</t>
    </rPh>
    <rPh sb="5" eb="6">
      <t>サマ</t>
    </rPh>
    <phoneticPr fontId="32"/>
  </si>
  <si>
    <t>令和　　年　　月　　日</t>
    <rPh sb="0" eb="1">
      <t>レイ</t>
    </rPh>
    <rPh sb="1" eb="2">
      <t>ワ</t>
    </rPh>
    <rPh sb="4" eb="5">
      <t>ネン</t>
    </rPh>
    <rPh sb="7" eb="8">
      <t>ツキ</t>
    </rPh>
    <rPh sb="10" eb="11">
      <t>ニチ</t>
    </rPh>
    <phoneticPr fontId="32"/>
  </si>
  <si>
    <t>個人番号</t>
    <rPh sb="0" eb="2">
      <t>コジン</t>
    </rPh>
    <rPh sb="2" eb="4">
      <t>バンゴウ</t>
    </rPh>
    <phoneticPr fontId="32"/>
  </si>
  <si>
    <t>生年月日
※</t>
    <rPh sb="0" eb="2">
      <t>セイネン</t>
    </rPh>
    <rPh sb="2" eb="4">
      <t>ガッピ</t>
    </rPh>
    <phoneticPr fontId="32"/>
  </si>
  <si>
    <t>性別
※</t>
    <rPh sb="0" eb="2">
      <t>セイベツ</t>
    </rPh>
    <phoneticPr fontId="32"/>
  </si>
  <si>
    <t>男・女</t>
    <rPh sb="0" eb="1">
      <t>オトコ</t>
    </rPh>
    <rPh sb="2" eb="3">
      <t>オンナ</t>
    </rPh>
    <phoneticPr fontId="32"/>
  </si>
  <si>
    <t>氏名</t>
    <rPh sb="0" eb="2">
      <t>シメイ</t>
    </rPh>
    <phoneticPr fontId="32"/>
  </si>
  <si>
    <t>住所</t>
    <rPh sb="0" eb="2">
      <t>ジュウショ</t>
    </rPh>
    <phoneticPr fontId="32"/>
  </si>
  <si>
    <t>電話番号</t>
    <rPh sb="0" eb="2">
      <t>デンワ</t>
    </rPh>
    <rPh sb="2" eb="4">
      <t>バンゴウ</t>
    </rPh>
    <phoneticPr fontId="32"/>
  </si>
  <si>
    <t>※</t>
    <phoneticPr fontId="32"/>
  </si>
  <si>
    <t>個人番号がわからない場合は、生年月日と性別を記載してください。</t>
  </si>
  <si>
    <t>申請の内容について、該当する番号に○をつけてください。</t>
    <rPh sb="0" eb="2">
      <t>シンセイ</t>
    </rPh>
    <rPh sb="3" eb="5">
      <t>ナイヨウ</t>
    </rPh>
    <rPh sb="10" eb="12">
      <t>ガイトウ</t>
    </rPh>
    <rPh sb="14" eb="16">
      <t>バンゴウ</t>
    </rPh>
    <phoneticPr fontId="32"/>
  </si>
  <si>
    <t>申請内容</t>
    <rPh sb="0" eb="1">
      <t>サル</t>
    </rPh>
    <rPh sb="1" eb="2">
      <t>ショウ</t>
    </rPh>
    <rPh sb="2" eb="3">
      <t>ウチ</t>
    </rPh>
    <rPh sb="3" eb="4">
      <t>カタチ</t>
    </rPh>
    <phoneticPr fontId="32"/>
  </si>
  <si>
    <t>1.署名用電子証明書</t>
    <phoneticPr fontId="32"/>
  </si>
  <si>
    <t>2.利用者証明用電子証明書</t>
    <phoneticPr fontId="32"/>
  </si>
  <si>
    <t>1.暗証番号の変更
2.暗証番号の再設定
　※暗証番号の初期化および変更を行います。</t>
    <rPh sb="2" eb="4">
      <t>アンショウ</t>
    </rPh>
    <rPh sb="4" eb="6">
      <t>バンゴウ</t>
    </rPh>
    <rPh sb="7" eb="9">
      <t>ヘンコウ</t>
    </rPh>
    <rPh sb="17" eb="20">
      <t>サイセッテイ</t>
    </rPh>
    <rPh sb="23" eb="25">
      <t>アンショウ</t>
    </rPh>
    <rPh sb="25" eb="27">
      <t>バンゴウ</t>
    </rPh>
    <rPh sb="28" eb="31">
      <t>ショキカ</t>
    </rPh>
    <rPh sb="34" eb="36">
      <t>ヘンコウ</t>
    </rPh>
    <rPh sb="37" eb="38">
      <t>オコナ</t>
    </rPh>
    <phoneticPr fontId="32"/>
  </si>
  <si>
    <t>3.住民基本台帳用</t>
    <rPh sb="2" eb="4">
      <t>ジュウミン</t>
    </rPh>
    <rPh sb="4" eb="6">
      <t>キホン</t>
    </rPh>
    <rPh sb="6" eb="8">
      <t>ダイチョウ</t>
    </rPh>
    <rPh sb="8" eb="9">
      <t>ヨウ</t>
    </rPh>
    <phoneticPr fontId="32"/>
  </si>
  <si>
    <t>4.券面事項入力補助用</t>
    <rPh sb="2" eb="4">
      <t>ケンメン</t>
    </rPh>
    <rPh sb="4" eb="6">
      <t>ジコウ</t>
    </rPh>
    <rPh sb="6" eb="8">
      <t>ニュウリョク</t>
    </rPh>
    <rPh sb="8" eb="10">
      <t>ホジョ</t>
    </rPh>
    <rPh sb="10" eb="11">
      <t>ヨウ</t>
    </rPh>
    <phoneticPr fontId="32"/>
  </si>
  <si>
    <t>代理人による届出の場合は、以下に記入してください。</t>
    <rPh sb="0" eb="3">
      <t>ダイリニン</t>
    </rPh>
    <rPh sb="6" eb="7">
      <t>トド</t>
    </rPh>
    <rPh sb="7" eb="8">
      <t>デ</t>
    </rPh>
    <rPh sb="9" eb="11">
      <t>バアイ</t>
    </rPh>
    <rPh sb="13" eb="15">
      <t>イカ</t>
    </rPh>
    <rPh sb="16" eb="18">
      <t>キニュウ</t>
    </rPh>
    <phoneticPr fontId="32"/>
  </si>
  <si>
    <t>代理人</t>
    <rPh sb="0" eb="2">
      <t>ダイリ</t>
    </rPh>
    <rPh sb="2" eb="3">
      <t>ヒト</t>
    </rPh>
    <phoneticPr fontId="32"/>
  </si>
  <si>
    <t>本人との関係</t>
    <rPh sb="0" eb="2">
      <t>ホンニン</t>
    </rPh>
    <rPh sb="4" eb="6">
      <t>カンケイ</t>
    </rPh>
    <phoneticPr fontId="32"/>
  </si>
  <si>
    <t>事務処理記載欄</t>
    <rPh sb="0" eb="2">
      <t>ジム</t>
    </rPh>
    <rPh sb="2" eb="4">
      <t>ショリ</t>
    </rPh>
    <rPh sb="4" eb="6">
      <t>キサイ</t>
    </rPh>
    <rPh sb="6" eb="7">
      <t>ラン</t>
    </rPh>
    <phoneticPr fontId="32"/>
  </si>
  <si>
    <t>受付担当者</t>
    <rPh sb="0" eb="2">
      <t>ウケツケ</t>
    </rPh>
    <rPh sb="2" eb="5">
      <t>タントウシャ</t>
    </rPh>
    <phoneticPr fontId="32"/>
  </si>
  <si>
    <t>受付年月日</t>
    <rPh sb="0" eb="2">
      <t>ウケツケ</t>
    </rPh>
    <rPh sb="2" eb="5">
      <t>ネンガッピ</t>
    </rPh>
    <phoneticPr fontId="32"/>
  </si>
  <si>
    <t>（参考）個人番号の記載がある場合は、生年月日と性別に加えて、住所の記載も省略することが可能です。</t>
    <rPh sb="1" eb="3">
      <t>サンコウ</t>
    </rPh>
    <rPh sb="4" eb="6">
      <t>コジン</t>
    </rPh>
    <rPh sb="6" eb="8">
      <t>バンゴウ</t>
    </rPh>
    <rPh sb="9" eb="11">
      <t>キサイ</t>
    </rPh>
    <rPh sb="14" eb="16">
      <t>バアイ</t>
    </rPh>
    <rPh sb="18" eb="20">
      <t>セイネン</t>
    </rPh>
    <rPh sb="20" eb="22">
      <t>ガッピ</t>
    </rPh>
    <rPh sb="23" eb="25">
      <t>セイベツ</t>
    </rPh>
    <rPh sb="26" eb="27">
      <t>クワ</t>
    </rPh>
    <rPh sb="30" eb="32">
      <t>ジュウショ</t>
    </rPh>
    <rPh sb="33" eb="35">
      <t>キサイ</t>
    </rPh>
    <rPh sb="36" eb="38">
      <t>ショウリャク</t>
    </rPh>
    <rPh sb="43" eb="45">
      <t>カノウ</t>
    </rPh>
    <phoneticPr fontId="32"/>
  </si>
  <si>
    <t>個人番号カード紛失・廃止届</t>
    <rPh sb="10" eb="12">
      <t>ハイシ</t>
    </rPh>
    <phoneticPr fontId="32"/>
  </si>
  <si>
    <t>電子証明書　失効申請/秘密鍵漏えい等届出書</t>
    <phoneticPr fontId="32"/>
  </si>
  <si>
    <t>生年月日
※１</t>
    <rPh sb="0" eb="2">
      <t>セイネン</t>
    </rPh>
    <rPh sb="2" eb="4">
      <t>ガッピ</t>
    </rPh>
    <phoneticPr fontId="32"/>
  </si>
  <si>
    <t>性別
※１</t>
    <rPh sb="0" eb="2">
      <t>セイベツ</t>
    </rPh>
    <phoneticPr fontId="32"/>
  </si>
  <si>
    <t>氏名</t>
    <phoneticPr fontId="32"/>
  </si>
  <si>
    <t>紛失の経緯</t>
    <rPh sb="0" eb="2">
      <t>フンシツ</t>
    </rPh>
    <rPh sb="3" eb="5">
      <t>ケイイ</t>
    </rPh>
    <phoneticPr fontId="32"/>
  </si>
  <si>
    <t>遺失届を
届け出た
警察署※２</t>
    <phoneticPr fontId="32"/>
  </si>
  <si>
    <t>（</t>
    <phoneticPr fontId="32"/>
  </si>
  <si>
    <t>）</t>
    <phoneticPr fontId="32"/>
  </si>
  <si>
    <t>警察署</t>
    <rPh sb="0" eb="3">
      <t>ケイサツショ</t>
    </rPh>
    <phoneticPr fontId="32"/>
  </si>
  <si>
    <t>－</t>
    <phoneticPr fontId="32"/>
  </si>
  <si>
    <t>遺失届受理
番号※２</t>
    <rPh sb="0" eb="2">
      <t>イシツ</t>
    </rPh>
    <rPh sb="2" eb="3">
      <t>トドケ</t>
    </rPh>
    <rPh sb="3" eb="5">
      <t>ジュリ</t>
    </rPh>
    <rPh sb="6" eb="8">
      <t>バンゴウ</t>
    </rPh>
    <phoneticPr fontId="32"/>
  </si>
  <si>
    <t>※１　個人番号がわからない場合は、生年月日と性別を記載してください。</t>
    <phoneticPr fontId="32"/>
  </si>
  <si>
    <t>※２　個人番号カードの再交付を希望しない場合は、遺失届を届け出た警察署及び遺失届受理番号は記載不要です。</t>
    <rPh sb="3" eb="5">
      <t>コジン</t>
    </rPh>
    <rPh sb="5" eb="7">
      <t>バンゴウ</t>
    </rPh>
    <rPh sb="11" eb="14">
      <t>サイコウフ</t>
    </rPh>
    <rPh sb="15" eb="17">
      <t>キボウ</t>
    </rPh>
    <rPh sb="20" eb="22">
      <t>バアイ</t>
    </rPh>
    <rPh sb="24" eb="27">
      <t>イシツトドケ</t>
    </rPh>
    <rPh sb="28" eb="29">
      <t>トド</t>
    </rPh>
    <rPh sb="30" eb="31">
      <t>デ</t>
    </rPh>
    <rPh sb="32" eb="35">
      <t>ケイサツショ</t>
    </rPh>
    <rPh sb="35" eb="36">
      <t>オヨ</t>
    </rPh>
    <rPh sb="37" eb="40">
      <t>イシツトドケ</t>
    </rPh>
    <rPh sb="40" eb="42">
      <t>ジュリ</t>
    </rPh>
    <rPh sb="42" eb="44">
      <t>バンゴウ</t>
    </rPh>
    <rPh sb="45" eb="47">
      <t>キサイ</t>
    </rPh>
    <rPh sb="47" eb="49">
      <t>フヨウ</t>
    </rPh>
    <phoneticPr fontId="32"/>
  </si>
  <si>
    <t>　失効申請等について、該当するものに○を付けてください。また、失効を希望される電子証明書のシリアル番号を確認できる資料（個人番号カード、電子証明書の写し等）を本日お持ちいただいている場合にはその旨と、もしその番号をお分かりになる場合には併せてそれもご記入ください。
  なお、個人番号カードをお持ちいただいている場合は、失効した電子証明書及びその鍵ペアを当該個人番号カードより消去いたしますので、あらかじめご了承ください。</t>
    <rPh sb="1" eb="3">
      <t>シッコウ</t>
    </rPh>
    <rPh sb="3" eb="5">
      <t>シンセイ</t>
    </rPh>
    <rPh sb="5" eb="6">
      <t>トウ</t>
    </rPh>
    <rPh sb="11" eb="13">
      <t>ガイトウ</t>
    </rPh>
    <rPh sb="20" eb="21">
      <t>ツ</t>
    </rPh>
    <rPh sb="31" eb="33">
      <t>シッコウ</t>
    </rPh>
    <rPh sb="34" eb="36">
      <t>キボウ</t>
    </rPh>
    <rPh sb="39" eb="41">
      <t>デンシ</t>
    </rPh>
    <rPh sb="41" eb="44">
      <t>ショウメイショ</t>
    </rPh>
    <rPh sb="49" eb="51">
      <t>バンゴウ</t>
    </rPh>
    <rPh sb="52" eb="54">
      <t>カクニン</t>
    </rPh>
    <rPh sb="57" eb="59">
      <t>シリョウ</t>
    </rPh>
    <rPh sb="60" eb="62">
      <t>コジン</t>
    </rPh>
    <rPh sb="62" eb="64">
      <t>バンゴウ</t>
    </rPh>
    <rPh sb="68" eb="70">
      <t>デンシ</t>
    </rPh>
    <rPh sb="70" eb="73">
      <t>ショウメイショ</t>
    </rPh>
    <rPh sb="74" eb="75">
      <t>ウツ</t>
    </rPh>
    <rPh sb="76" eb="77">
      <t>トウ</t>
    </rPh>
    <rPh sb="79" eb="81">
      <t>ホンジツ</t>
    </rPh>
    <rPh sb="82" eb="83">
      <t>モ</t>
    </rPh>
    <rPh sb="91" eb="93">
      <t>バアイ</t>
    </rPh>
    <rPh sb="97" eb="98">
      <t>ムネ</t>
    </rPh>
    <rPh sb="104" eb="106">
      <t>バンゴウ</t>
    </rPh>
    <rPh sb="108" eb="109">
      <t>ワ</t>
    </rPh>
    <rPh sb="114" eb="116">
      <t>バアイ</t>
    </rPh>
    <rPh sb="118" eb="119">
      <t>アワ</t>
    </rPh>
    <rPh sb="125" eb="127">
      <t>キニュウ</t>
    </rPh>
    <rPh sb="147" eb="148">
      <t>モ</t>
    </rPh>
    <rPh sb="156" eb="158">
      <t>バアイ</t>
    </rPh>
    <rPh sb="160" eb="162">
      <t>シッコウ</t>
    </rPh>
    <rPh sb="164" eb="166">
      <t>デンシ</t>
    </rPh>
    <rPh sb="166" eb="169">
      <t>ショウメイショ</t>
    </rPh>
    <rPh sb="169" eb="170">
      <t>オヨ</t>
    </rPh>
    <rPh sb="173" eb="174">
      <t>カギ</t>
    </rPh>
    <rPh sb="177" eb="179">
      <t>トウガイ</t>
    </rPh>
    <rPh sb="188" eb="190">
      <t>ショウキョ</t>
    </rPh>
    <rPh sb="204" eb="206">
      <t>リョウショウ</t>
    </rPh>
    <phoneticPr fontId="32"/>
  </si>
  <si>
    <t>署名用
電子証明書</t>
    <phoneticPr fontId="32"/>
  </si>
  <si>
    <t>シリアル番号</t>
    <rPh sb="4" eb="6">
      <t>バンゴウ</t>
    </rPh>
    <phoneticPr fontId="32"/>
  </si>
  <si>
    <t>資料の有無</t>
    <rPh sb="0" eb="2">
      <t>シリョウ</t>
    </rPh>
    <rPh sb="3" eb="5">
      <t>ウム</t>
    </rPh>
    <phoneticPr fontId="32"/>
  </si>
  <si>
    <t>（無・有）</t>
    <rPh sb="1" eb="2">
      <t>ナシ</t>
    </rPh>
    <rPh sb="3" eb="4">
      <t>アリ</t>
    </rPh>
    <phoneticPr fontId="32"/>
  </si>
  <si>
    <t>　1.　サービス利用の自発的な取り止め
　2.　利用者の秘密鍵の漏えい等
　　　（例：個人番号カードの紛失・破損・盗難・廃止、暗証番号の漏えい等）</t>
    <rPh sb="11" eb="14">
      <t>ジハツテキ</t>
    </rPh>
    <rPh sb="15" eb="16">
      <t>ト</t>
    </rPh>
    <rPh sb="17" eb="18">
      <t>ヤ</t>
    </rPh>
    <rPh sb="24" eb="27">
      <t>リヨウシャ</t>
    </rPh>
    <rPh sb="28" eb="30">
      <t>ヒミツ</t>
    </rPh>
    <rPh sb="30" eb="31">
      <t>カギ</t>
    </rPh>
    <rPh sb="32" eb="33">
      <t>ロウ</t>
    </rPh>
    <rPh sb="35" eb="36">
      <t>トウ</t>
    </rPh>
    <rPh sb="41" eb="42">
      <t>レイ</t>
    </rPh>
    <rPh sb="51" eb="53">
      <t>フンシツ</t>
    </rPh>
    <rPh sb="54" eb="56">
      <t>ハソン</t>
    </rPh>
    <rPh sb="57" eb="59">
      <t>トウナン</t>
    </rPh>
    <rPh sb="60" eb="62">
      <t>ハイシ</t>
    </rPh>
    <rPh sb="63" eb="65">
      <t>アンショウ</t>
    </rPh>
    <rPh sb="65" eb="67">
      <t>バンゴウ</t>
    </rPh>
    <rPh sb="68" eb="69">
      <t>ロウ</t>
    </rPh>
    <rPh sb="71" eb="72">
      <t>トウ</t>
    </rPh>
    <phoneticPr fontId="32"/>
  </si>
  <si>
    <t>利用者証明用
電子証明書</t>
    <phoneticPr fontId="32"/>
  </si>
  <si>
    <t>　1.　サービス利用の自発的な取り止め
　2.　利用者の秘密鍵の漏えい等
　　　（例：個人番号カードの紛失・破損・盗難・廃止、暗証番号の漏えい等）</t>
    <rPh sb="8" eb="10">
      <t>リヨウ</t>
    </rPh>
    <rPh sb="11" eb="14">
      <t>ジハツテキ</t>
    </rPh>
    <rPh sb="15" eb="16">
      <t>ト</t>
    </rPh>
    <rPh sb="17" eb="18">
      <t>ヤ</t>
    </rPh>
    <rPh sb="24" eb="27">
      <t>リヨウシャ</t>
    </rPh>
    <rPh sb="28" eb="30">
      <t>ヒミツ</t>
    </rPh>
    <rPh sb="30" eb="31">
      <t>カギ</t>
    </rPh>
    <rPh sb="32" eb="33">
      <t>ロウ</t>
    </rPh>
    <rPh sb="35" eb="36">
      <t>トウ</t>
    </rPh>
    <rPh sb="41" eb="42">
      <t>レイ</t>
    </rPh>
    <rPh sb="51" eb="53">
      <t>フンシツ</t>
    </rPh>
    <rPh sb="54" eb="56">
      <t>ハソン</t>
    </rPh>
    <rPh sb="57" eb="59">
      <t>トウナン</t>
    </rPh>
    <rPh sb="63" eb="65">
      <t>アンショウ</t>
    </rPh>
    <rPh sb="65" eb="67">
      <t>バンゴウ</t>
    </rPh>
    <rPh sb="68" eb="69">
      <t>ロウ</t>
    </rPh>
    <rPh sb="71" eb="72">
      <t>トウ</t>
    </rPh>
    <phoneticPr fontId="32"/>
  </si>
  <si>
    <t>　</t>
    <phoneticPr fontId="32"/>
  </si>
  <si>
    <t>個人番号カード 券面記載事項変更届
電子証明書　新規発行申請書</t>
    <rPh sb="0" eb="2">
      <t>コジン</t>
    </rPh>
    <rPh sb="2" eb="4">
      <t>バンゴウ</t>
    </rPh>
    <rPh sb="18" eb="20">
      <t>デンシ</t>
    </rPh>
    <rPh sb="20" eb="23">
      <t>ショウメイショ</t>
    </rPh>
    <rPh sb="24" eb="26">
      <t>シンキ</t>
    </rPh>
    <rPh sb="26" eb="28">
      <t>ハッコウ</t>
    </rPh>
    <rPh sb="28" eb="31">
      <t>シンセイショ</t>
    </rPh>
    <phoneticPr fontId="32"/>
  </si>
  <si>
    <t>変更理由</t>
    <rPh sb="0" eb="2">
      <t>ヘンコウ</t>
    </rPh>
    <rPh sb="2" eb="4">
      <t>リユウ</t>
    </rPh>
    <phoneticPr fontId="32"/>
  </si>
  <si>
    <t>変更のある事項について以下に記入してください。</t>
    <rPh sb="0" eb="2">
      <t>ヘンコウ</t>
    </rPh>
    <rPh sb="5" eb="7">
      <t>ジコウ</t>
    </rPh>
    <rPh sb="11" eb="13">
      <t>イカ</t>
    </rPh>
    <rPh sb="14" eb="16">
      <t>キニュウ</t>
    </rPh>
    <phoneticPr fontId="32"/>
  </si>
  <si>
    <t>新しい生年月日</t>
    <rPh sb="0" eb="1">
      <t>アタラ</t>
    </rPh>
    <rPh sb="3" eb="5">
      <t>セイネン</t>
    </rPh>
    <rPh sb="5" eb="7">
      <t>ガッピ</t>
    </rPh>
    <phoneticPr fontId="32"/>
  </si>
  <si>
    <t>新しい性別</t>
    <rPh sb="0" eb="1">
      <t>アタラ</t>
    </rPh>
    <rPh sb="3" eb="5">
      <t>セイベツ</t>
    </rPh>
    <phoneticPr fontId="32"/>
  </si>
  <si>
    <t>新しい氏名</t>
    <rPh sb="0" eb="1">
      <t>アタラ</t>
    </rPh>
    <rPh sb="3" eb="5">
      <t>シメイ</t>
    </rPh>
    <phoneticPr fontId="32"/>
  </si>
  <si>
    <t>新しい住所</t>
    <rPh sb="0" eb="1">
      <t>アタラ</t>
    </rPh>
    <rPh sb="3" eb="5">
      <t>ジュウショ</t>
    </rPh>
    <phoneticPr fontId="32"/>
  </si>
  <si>
    <t>旧氏に関する事項について届け出る場合は、以下のいずれかの□欄にチェックをつけてください。旧氏の記載・変更にチェックをつけた場合は、その旧氏を記入してください。</t>
    <rPh sb="0" eb="1">
      <t>キュウ</t>
    </rPh>
    <rPh sb="1" eb="2">
      <t>ウジ</t>
    </rPh>
    <rPh sb="3" eb="4">
      <t>カン</t>
    </rPh>
    <rPh sb="6" eb="8">
      <t>ジコウ</t>
    </rPh>
    <rPh sb="12" eb="13">
      <t>トド</t>
    </rPh>
    <rPh sb="14" eb="15">
      <t>デ</t>
    </rPh>
    <rPh sb="16" eb="18">
      <t>バアイ</t>
    </rPh>
    <rPh sb="20" eb="22">
      <t>イカ</t>
    </rPh>
    <rPh sb="29" eb="30">
      <t>ラン</t>
    </rPh>
    <rPh sb="44" eb="45">
      <t>キュウ</t>
    </rPh>
    <rPh sb="45" eb="46">
      <t>ウジ</t>
    </rPh>
    <rPh sb="47" eb="49">
      <t>キサイ</t>
    </rPh>
    <rPh sb="50" eb="52">
      <t>ヘンコウ</t>
    </rPh>
    <rPh sb="67" eb="68">
      <t>キュウ</t>
    </rPh>
    <rPh sb="68" eb="69">
      <t>ウジ</t>
    </rPh>
    <phoneticPr fontId="32"/>
  </si>
  <si>
    <r>
      <t xml:space="preserve">旧氏の記載・変更 </t>
    </r>
    <r>
      <rPr>
        <sz val="12"/>
        <rFont val="ＭＳ 明朝"/>
        <family val="1"/>
        <charset val="128"/>
      </rPr>
      <t>□</t>
    </r>
    <rPh sb="0" eb="1">
      <t>キュウ</t>
    </rPh>
    <rPh sb="1" eb="2">
      <t>ウジ</t>
    </rPh>
    <rPh sb="3" eb="5">
      <t>キサイ</t>
    </rPh>
    <rPh sb="6" eb="8">
      <t>ヘンコウ</t>
    </rPh>
    <phoneticPr fontId="32"/>
  </si>
  <si>
    <r>
      <t xml:space="preserve">旧氏の削除 </t>
    </r>
    <r>
      <rPr>
        <sz val="12"/>
        <rFont val="ＭＳ 明朝"/>
        <family val="1"/>
        <charset val="128"/>
      </rPr>
      <t>□</t>
    </r>
    <rPh sb="0" eb="1">
      <t>キュウ</t>
    </rPh>
    <rPh sb="1" eb="2">
      <t>ウジ</t>
    </rPh>
    <rPh sb="3" eb="5">
      <t>サクジョ</t>
    </rPh>
    <phoneticPr fontId="32"/>
  </si>
  <si>
    <t>通称に関する事項について届け出る場合は、以下のいずれかの□欄にチェックをつけてください。通称の記載にチェックをつけた場合は、その通称を記入してください。</t>
    <rPh sb="0" eb="2">
      <t>ツウショウ</t>
    </rPh>
    <rPh sb="3" eb="4">
      <t>カン</t>
    </rPh>
    <rPh sb="6" eb="8">
      <t>ジコウ</t>
    </rPh>
    <rPh sb="12" eb="13">
      <t>トド</t>
    </rPh>
    <rPh sb="14" eb="15">
      <t>デ</t>
    </rPh>
    <rPh sb="16" eb="18">
      <t>バアイ</t>
    </rPh>
    <rPh sb="20" eb="22">
      <t>イカ</t>
    </rPh>
    <rPh sb="29" eb="30">
      <t>ラン</t>
    </rPh>
    <rPh sb="44" eb="46">
      <t>ツウショウ</t>
    </rPh>
    <rPh sb="47" eb="49">
      <t>キサイ</t>
    </rPh>
    <phoneticPr fontId="32"/>
  </si>
  <si>
    <r>
      <t xml:space="preserve">通称の記載 </t>
    </r>
    <r>
      <rPr>
        <sz val="12"/>
        <rFont val="ＭＳ 明朝"/>
        <family val="1"/>
        <charset val="128"/>
      </rPr>
      <t>□</t>
    </r>
    <rPh sb="0" eb="2">
      <t>ツウショウ</t>
    </rPh>
    <rPh sb="3" eb="5">
      <t>キサイ</t>
    </rPh>
    <phoneticPr fontId="32"/>
  </si>
  <si>
    <r>
      <t xml:space="preserve">通称の削除 </t>
    </r>
    <r>
      <rPr>
        <sz val="12"/>
        <rFont val="ＭＳ 明朝"/>
        <family val="1"/>
        <charset val="128"/>
      </rPr>
      <t>□</t>
    </r>
    <rPh sb="0" eb="2">
      <t>ツウショウ</t>
    </rPh>
    <rPh sb="3" eb="5">
      <t>サクジョ</t>
    </rPh>
    <phoneticPr fontId="32"/>
  </si>
  <si>
    <t>券面記載事項の変更に伴い失効する署名用電子証明書を発行する場合、□欄にチェックをつけてください。</t>
    <rPh sb="0" eb="2">
      <t>ケンメン</t>
    </rPh>
    <rPh sb="1" eb="2">
      <t>メン</t>
    </rPh>
    <rPh sb="2" eb="4">
      <t>キサイ</t>
    </rPh>
    <rPh sb="4" eb="6">
      <t>ジコウ</t>
    </rPh>
    <rPh sb="7" eb="9">
      <t>ヘンコウ</t>
    </rPh>
    <rPh sb="10" eb="11">
      <t>トモナ</t>
    </rPh>
    <rPh sb="12" eb="14">
      <t>シッコウ</t>
    </rPh>
    <rPh sb="16" eb="18">
      <t>ショメイ</t>
    </rPh>
    <rPh sb="18" eb="19">
      <t>ヨウ</t>
    </rPh>
    <rPh sb="19" eb="21">
      <t>デンシ</t>
    </rPh>
    <rPh sb="21" eb="24">
      <t>ショウメイショ</t>
    </rPh>
    <rPh sb="25" eb="27">
      <t>ハッコウ</t>
    </rPh>
    <rPh sb="29" eb="31">
      <t>バアイ</t>
    </rPh>
    <rPh sb="33" eb="34">
      <t>ラン</t>
    </rPh>
    <phoneticPr fontId="32"/>
  </si>
  <si>
    <t>申請内容</t>
    <rPh sb="0" eb="2">
      <t>シンセイ</t>
    </rPh>
    <rPh sb="2" eb="4">
      <t>ナイヨウ</t>
    </rPh>
    <phoneticPr fontId="32"/>
  </si>
  <si>
    <t>署名用電子証明書の発行 □</t>
    <rPh sb="9" eb="11">
      <t>ハッコウ</t>
    </rPh>
    <phoneticPr fontId="32"/>
  </si>
  <si>
    <t>代替対象
文字
の有無を以下に記入してください。</t>
    <rPh sb="0" eb="2">
      <t>ダイタイ</t>
    </rPh>
    <rPh sb="2" eb="4">
      <t>タイショウ</t>
    </rPh>
    <rPh sb="5" eb="7">
      <t>モジ</t>
    </rPh>
    <rPh sb="9" eb="11">
      <t>ウム</t>
    </rPh>
    <rPh sb="12" eb="14">
      <t>イカ</t>
    </rPh>
    <rPh sb="15" eb="17">
      <t>キニュウ</t>
    </rPh>
    <phoneticPr fontId="32"/>
  </si>
  <si>
    <t>代替対象文字
の有無</t>
    <rPh sb="0" eb="2">
      <t>ダイタイ</t>
    </rPh>
    <rPh sb="2" eb="4">
      <t>タイショウ</t>
    </rPh>
    <rPh sb="4" eb="6">
      <t>モジ</t>
    </rPh>
    <rPh sb="8" eb="10">
      <t>ウム</t>
    </rPh>
    <phoneticPr fontId="32"/>
  </si>
  <si>
    <t>（ 無 ・ 有 ）</t>
    <phoneticPr fontId="32"/>
  </si>
  <si>
    <t>常用している文字</t>
    <rPh sb="0" eb="2">
      <t>ジョウヨウ</t>
    </rPh>
    <rPh sb="6" eb="8">
      <t>モジ</t>
    </rPh>
    <phoneticPr fontId="32"/>
  </si>
  <si>
    <t>（例．　→吉）</t>
    <rPh sb="1" eb="2">
      <t>レイ</t>
    </rPh>
    <rPh sb="5" eb="6">
      <t>キチ</t>
    </rPh>
    <phoneticPr fontId="32"/>
  </si>
  <si>
    <t>　申請される方の住所、氏名のコンピュータ入力に際して、画面上に正確に表示されない文字（代替対象文字）があることを経験上ご存知の場合は、有に○を付けてください。
　また、そのような場合に常用されている文字があれば、代わりに置き換える文字を選択する際の参考とするため、記入してください。分からない場合は、記入していただく必要はございません。</t>
    <rPh sb="132" eb="134">
      <t>キニュウ</t>
    </rPh>
    <rPh sb="141" eb="142">
      <t>ワ</t>
    </rPh>
    <rPh sb="146" eb="148">
      <t>バアイ</t>
    </rPh>
    <rPh sb="150" eb="152">
      <t>キニュウ</t>
    </rPh>
    <rPh sb="158" eb="160">
      <t>ヒツヨウ</t>
    </rPh>
    <phoneticPr fontId="32"/>
  </si>
  <si>
    <t>代理人による届出の場合は、以下に記入してください。</t>
    <rPh sb="0" eb="3">
      <t>ダイリニン</t>
    </rPh>
    <rPh sb="6" eb="8">
      <t>トドケデ</t>
    </rPh>
    <rPh sb="9" eb="11">
      <t>バアイ</t>
    </rPh>
    <rPh sb="13" eb="15">
      <t>イカ</t>
    </rPh>
    <rPh sb="16" eb="18">
      <t>キニュウ</t>
    </rPh>
    <phoneticPr fontId="32"/>
  </si>
  <si>
    <t>　　</t>
    <phoneticPr fontId="32"/>
  </si>
  <si>
    <t>※　事務処理記載欄</t>
    <rPh sb="2" eb="4">
      <t>ジム</t>
    </rPh>
    <rPh sb="4" eb="6">
      <t>ショリ</t>
    </rPh>
    <rPh sb="6" eb="8">
      <t>キサイ</t>
    </rPh>
    <rPh sb="8" eb="9">
      <t>ラン</t>
    </rPh>
    <phoneticPr fontId="32"/>
  </si>
  <si>
    <t>受付担当者</t>
    <phoneticPr fontId="32"/>
  </si>
  <si>
    <t>受付年月日</t>
    <phoneticPr fontId="32"/>
  </si>
  <si>
    <t>令和　  　年　  　月　  　日</t>
    <rPh sb="0" eb="1">
      <t>レイ</t>
    </rPh>
    <rPh sb="1" eb="2">
      <t>ワ</t>
    </rPh>
    <phoneticPr fontId="32"/>
  </si>
  <si>
    <t>通信の有無</t>
    <phoneticPr fontId="32"/>
  </si>
  <si>
    <t>破棄／職権失効の有無と回数</t>
    <phoneticPr fontId="32"/>
  </si>
  <si>
    <t>発行手数料額</t>
    <phoneticPr fontId="32"/>
  </si>
  <si>
    <t xml:space="preserve"> 1．無
 2．有　　（　　　）回</t>
    <phoneticPr fontId="32"/>
  </si>
  <si>
    <t>　　　　　　　　円</t>
    <rPh sb="8" eb="9">
      <t>エン</t>
    </rPh>
    <phoneticPr fontId="32"/>
  </si>
  <si>
    <t>無通信、破棄／職権失効及び発行手数料無料の理由</t>
    <phoneticPr fontId="32"/>
  </si>
  <si>
    <t>■希望あり　□希望なし</t>
    <rPh sb="1" eb="3">
      <t>キボウ</t>
    </rPh>
    <rPh sb="7" eb="9">
      <t>キボウ</t>
    </rPh>
    <phoneticPr fontId="18"/>
  </si>
  <si>
    <t>自署</t>
    <rPh sb="0" eb="2">
      <t>ジショ</t>
    </rPh>
    <phoneticPr fontId="18"/>
  </si>
  <si>
    <t>性別</t>
    <rPh sb="0" eb="2">
      <t>セイベツ</t>
    </rPh>
    <phoneticPr fontId="18"/>
  </si>
  <si>
    <t>転居</t>
    <rPh sb="0" eb="2">
      <t>テンキョ</t>
    </rPh>
    <phoneticPr fontId="18"/>
  </si>
  <si>
    <t>　転居　・　転入</t>
    <rPh sb="1" eb="3">
      <t>テンキョ</t>
    </rPh>
    <rPh sb="6" eb="8">
      <t>テンニュウ</t>
    </rPh>
    <phoneticPr fontId="18"/>
  </si>
  <si>
    <t>□固定資産課税台帳(名寄帳）</t>
    <rPh sb="1" eb="3">
      <t>コテイ</t>
    </rPh>
    <rPh sb="3" eb="5">
      <t>シサン</t>
    </rPh>
    <rPh sb="5" eb="7">
      <t>カゼイ</t>
    </rPh>
    <rPh sb="7" eb="9">
      <t>ダイチョウ</t>
    </rPh>
    <rPh sb="10" eb="13">
      <t>ナヨセチョウ</t>
    </rPh>
    <phoneticPr fontId="18"/>
  </si>
  <si>
    <t>左側</t>
    <rPh sb="0" eb="1">
      <t>ヒダリ</t>
    </rPh>
    <rPh sb="1" eb="2">
      <t>ガワ</t>
    </rPh>
    <phoneticPr fontId="18"/>
  </si>
  <si>
    <t>住基・戸籍・印鑑</t>
    <rPh sb="0" eb="2">
      <t>ジュウキ</t>
    </rPh>
    <rPh sb="3" eb="5">
      <t>コセキ</t>
    </rPh>
    <rPh sb="6" eb="8">
      <t>インカン</t>
    </rPh>
    <phoneticPr fontId="18"/>
  </si>
  <si>
    <t>税・各種</t>
    <rPh sb="0" eb="1">
      <t>ゼイ</t>
    </rPh>
    <rPh sb="2" eb="4">
      <t>カクシュ</t>
    </rPh>
    <phoneticPr fontId="18"/>
  </si>
  <si>
    <t>住民票交付用</t>
    <phoneticPr fontId="18"/>
  </si>
  <si>
    <t>印鑑登録証明書交付用</t>
    <phoneticPr fontId="18"/>
  </si>
  <si>
    <t>\\memfs181\共有ディスク\800共通業務\窓口BPR\database\csv</t>
  </si>
  <si>
    <t>□運転免許証　□マイナンバーカード　□保険証(社保・国保・介護・後期)　□学生証　□子ども医療費受給者証　□パスポート　□委任状　□通帳
□その他(　　　　　　　　　　　　　　　　　　　　　　　　　　　　　　　　　　　　　　　　　　　　　　　　　　　　　　　　　　　　　　　　　　　　　　　　　　　　　　　　　)</t>
    <rPh sb="1" eb="3">
      <t>ウンテン</t>
    </rPh>
    <rPh sb="3" eb="6">
      <t>メンキョショウ</t>
    </rPh>
    <rPh sb="19" eb="22">
      <t>ホケンショウ</t>
    </rPh>
    <rPh sb="23" eb="25">
      <t>シャホ</t>
    </rPh>
    <rPh sb="26" eb="28">
      <t>コクホ</t>
    </rPh>
    <rPh sb="29" eb="31">
      <t>カイゴ</t>
    </rPh>
    <rPh sb="32" eb="34">
      <t>コウキ</t>
    </rPh>
    <rPh sb="37" eb="40">
      <t>ガクセイショウ</t>
    </rPh>
    <rPh sb="45" eb="48">
      <t>イリョウヒ</t>
    </rPh>
    <rPh sb="48" eb="51">
      <t>ジュキュウシャ</t>
    </rPh>
    <rPh sb="51" eb="52">
      <t>ショウ</t>
    </rPh>
    <rPh sb="61" eb="64">
      <t>イニンジョウ</t>
    </rPh>
    <rPh sb="66" eb="68">
      <t>ツウチョウ</t>
    </rPh>
    <rPh sb="73" eb="74">
      <t>タ</t>
    </rPh>
    <phoneticPr fontId="18"/>
  </si>
  <si>
    <t>□カード紛失・再発行・改印</t>
    <rPh sb="4" eb="6">
      <t>フンシツ</t>
    </rPh>
    <rPh sb="7" eb="10">
      <t>サイハッコウ</t>
    </rPh>
    <rPh sb="11" eb="13">
      <t>カイイン</t>
    </rPh>
    <phoneticPr fontId="18"/>
  </si>
  <si>
    <t>遺 失 届
受理番号
※２</t>
    <rPh sb="0" eb="1">
      <t>イ</t>
    </rPh>
    <rPh sb="2" eb="3">
      <t>シッ</t>
    </rPh>
    <rPh sb="4" eb="5">
      <t>トドケ</t>
    </rPh>
    <rPh sb="6" eb="8">
      <t>ジュリ</t>
    </rPh>
    <rPh sb="8" eb="10">
      <t>バンゴウ</t>
    </rPh>
    <phoneticPr fontId="32"/>
  </si>
  <si>
    <t>※１　個人番号がわからない場合は、生年月日と性別を記載してください。</t>
  </si>
  <si>
    <t>代理人による届出の場合は、下記に記入してください。</t>
    <rPh sb="0" eb="3">
      <t>ダイリニン</t>
    </rPh>
    <rPh sb="6" eb="7">
      <t>トド</t>
    </rPh>
    <rPh sb="7" eb="8">
      <t>デ</t>
    </rPh>
    <rPh sb="9" eb="11">
      <t>バアイ</t>
    </rPh>
    <rPh sb="13" eb="15">
      <t>カキ</t>
    </rPh>
    <rPh sb="16" eb="18">
      <t>キニュウ</t>
    </rPh>
    <phoneticPr fontId="32"/>
  </si>
  <si>
    <t>　㊞　</t>
    <phoneticPr fontId="32"/>
  </si>
  <si>
    <t>（参考）・個人番号の記載がある場合は、生年月日と性別に加えて、住所の記載も省略することが可能です。</t>
    <phoneticPr fontId="32"/>
  </si>
  <si>
    <t>　　　　　　</t>
    <phoneticPr fontId="32"/>
  </si>
  <si>
    <t>通知カード紛失届</t>
    <phoneticPr fontId="32"/>
  </si>
  <si>
    <t>遺失届を
届け出た
警 察 署
※２　　　　　　　　</t>
    <phoneticPr fontId="32"/>
  </si>
  <si>
    <t>（</t>
    <phoneticPr fontId="32"/>
  </si>
  <si>
    <t>）</t>
    <phoneticPr fontId="32"/>
  </si>
  <si>
    <t>）</t>
    <phoneticPr fontId="32"/>
  </si>
  <si>
    <t>※２　通知カードの再交付を希望しない場合は、遺失届を届け出た警察署及び遺失届受理番号は記載不要です。</t>
    <phoneticPr fontId="32"/>
  </si>
  <si>
    <t>※</t>
    <phoneticPr fontId="32"/>
  </si>
  <si>
    <t xml:space="preserve">  ・本届出書の提出と同時に個人番号カードの交付申請を行う場合は、「遺失届を届け出た警察署」
　　及び「遺失届受理番号」の記載を省略することが可能です。</t>
    <phoneticPr fontId="32"/>
  </si>
  <si>
    <t>地方公共団体情報システム機構　御中</t>
    <rPh sb="0" eb="2">
      <t>チホウ</t>
    </rPh>
    <rPh sb="2" eb="4">
      <t>コウキョウ</t>
    </rPh>
    <rPh sb="4" eb="6">
      <t>ダンタイ</t>
    </rPh>
    <rPh sb="6" eb="8">
      <t>ジョウホウ</t>
    </rPh>
    <rPh sb="12" eb="14">
      <t>キコウ</t>
    </rPh>
    <rPh sb="15" eb="17">
      <t>オンチュウ</t>
    </rPh>
    <phoneticPr fontId="32"/>
  </si>
  <si>
    <t>署名用電子証明書／利用者証明用電子証明書　新規発行／更新申請書</t>
    <rPh sb="21" eb="23">
      <t>シンキ</t>
    </rPh>
    <rPh sb="26" eb="28">
      <t>コウシン</t>
    </rPh>
    <phoneticPr fontId="32"/>
  </si>
  <si>
    <t>1．</t>
    <phoneticPr fontId="32"/>
  </si>
  <si>
    <t>必要事項</t>
    <rPh sb="0" eb="2">
      <t>ヒツヨウ</t>
    </rPh>
    <rPh sb="2" eb="4">
      <t>ジコウ</t>
    </rPh>
    <phoneticPr fontId="32"/>
  </si>
  <si>
    <t>　以下に申請される方の氏名、住所等と申請の年月日をご記入ください。また、代理人を通じて申請される場合は代理人の氏名、住所等も併せてご記入ください。</t>
    <rPh sb="1" eb="3">
      <t>イカ</t>
    </rPh>
    <rPh sb="4" eb="6">
      <t>シンセイ</t>
    </rPh>
    <rPh sb="9" eb="10">
      <t>ホウ</t>
    </rPh>
    <rPh sb="11" eb="13">
      <t>シメイ</t>
    </rPh>
    <rPh sb="14" eb="16">
      <t>ジュウショ</t>
    </rPh>
    <rPh sb="16" eb="17">
      <t>トウ</t>
    </rPh>
    <rPh sb="18" eb="20">
      <t>シンセイ</t>
    </rPh>
    <rPh sb="21" eb="24">
      <t>ネンガッピ</t>
    </rPh>
    <rPh sb="26" eb="28">
      <t>キニュウ</t>
    </rPh>
    <rPh sb="36" eb="39">
      <t>ダイリニン</t>
    </rPh>
    <rPh sb="40" eb="41">
      <t>ツウ</t>
    </rPh>
    <rPh sb="43" eb="45">
      <t>シンセイ</t>
    </rPh>
    <rPh sb="48" eb="50">
      <t>バアイ</t>
    </rPh>
    <rPh sb="51" eb="54">
      <t>ダイリニン</t>
    </rPh>
    <rPh sb="55" eb="57">
      <t>シメイ</t>
    </rPh>
    <rPh sb="58" eb="60">
      <t>ジュウショ</t>
    </rPh>
    <rPh sb="60" eb="61">
      <t>トウ</t>
    </rPh>
    <rPh sb="62" eb="63">
      <t>アワ</t>
    </rPh>
    <rPh sb="66" eb="68">
      <t>キニュウ</t>
    </rPh>
    <phoneticPr fontId="32"/>
  </si>
  <si>
    <t>ふりがな</t>
    <phoneticPr fontId="32"/>
  </si>
  <si>
    <t>　　 氏名</t>
    <rPh sb="3" eb="5">
      <t>シメイ</t>
    </rPh>
    <phoneticPr fontId="32"/>
  </si>
  <si>
    <r>
      <rPr>
        <sz val="8"/>
        <rFont val="ＭＳ 明朝"/>
        <family val="1"/>
        <charset val="128"/>
      </rPr>
      <t>旧氏又は通称</t>
    </r>
    <r>
      <rPr>
        <sz val="6"/>
        <rFont val="ＭＳ 明朝"/>
        <family val="1"/>
        <charset val="128"/>
      </rPr>
      <t>（※）</t>
    </r>
    <rPh sb="0" eb="2">
      <t>キュウウジ</t>
    </rPh>
    <rPh sb="2" eb="3">
      <t>マタ</t>
    </rPh>
    <rPh sb="4" eb="6">
      <t>ツウショウ</t>
    </rPh>
    <phoneticPr fontId="32"/>
  </si>
  <si>
    <t>生年月日　</t>
    <rPh sb="0" eb="2">
      <t>セイネン</t>
    </rPh>
    <rPh sb="2" eb="4">
      <t>ガッピ</t>
    </rPh>
    <phoneticPr fontId="32"/>
  </si>
  <si>
    <t>男女の別</t>
    <rPh sb="0" eb="2">
      <t>ダンジョ</t>
    </rPh>
    <rPh sb="3" eb="4">
      <t>ベツ</t>
    </rPh>
    <phoneticPr fontId="32"/>
  </si>
  <si>
    <t>申請の
年月日</t>
    <phoneticPr fontId="32"/>
  </si>
  <si>
    <t>代理人
の氏名</t>
    <rPh sb="0" eb="2">
      <t>ダイリ</t>
    </rPh>
    <rPh sb="2" eb="3">
      <t>ヒト</t>
    </rPh>
    <rPh sb="5" eb="7">
      <t>シメイ</t>
    </rPh>
    <phoneticPr fontId="32"/>
  </si>
  <si>
    <t>代理人
の住所</t>
    <rPh sb="0" eb="3">
      <t>ダイリニン</t>
    </rPh>
    <rPh sb="5" eb="7">
      <t>ジュウショ</t>
    </rPh>
    <phoneticPr fontId="32"/>
  </si>
  <si>
    <t>代理人の
電話番号</t>
    <rPh sb="0" eb="3">
      <t>ダイリニン</t>
    </rPh>
    <rPh sb="5" eb="7">
      <t>デンワ</t>
    </rPh>
    <rPh sb="7" eb="9">
      <t>バンゴウ</t>
    </rPh>
    <phoneticPr fontId="32"/>
  </si>
  <si>
    <t>（</t>
    <phoneticPr fontId="32"/>
  </si>
  <si>
    <t>）</t>
    <phoneticPr fontId="32"/>
  </si>
  <si>
    <t>※　住民票に旧氏が記載されている方は、必ず旧氏を記載してください。</t>
    <rPh sb="2" eb="5">
      <t>ジュウミンヒョウ</t>
    </rPh>
    <rPh sb="6" eb="8">
      <t>キュウウジ</t>
    </rPh>
    <rPh sb="9" eb="11">
      <t>キサイ</t>
    </rPh>
    <rPh sb="16" eb="17">
      <t>カタ</t>
    </rPh>
    <rPh sb="19" eb="20">
      <t>カナラ</t>
    </rPh>
    <rPh sb="21" eb="22">
      <t>キュウ</t>
    </rPh>
    <rPh sb="22" eb="23">
      <t>シ</t>
    </rPh>
    <rPh sb="24" eb="26">
      <t>キサイ</t>
    </rPh>
    <phoneticPr fontId="32"/>
  </si>
  <si>
    <t>※　外国籍を有する方で住民票に通称が記載されている方は、必ず通称を記載してください。</t>
    <rPh sb="2" eb="5">
      <t>ガイコクセキ</t>
    </rPh>
    <rPh sb="6" eb="7">
      <t>ユウ</t>
    </rPh>
    <rPh sb="9" eb="10">
      <t>カタ</t>
    </rPh>
    <rPh sb="11" eb="14">
      <t>ジュウミンヒョウ</t>
    </rPh>
    <rPh sb="15" eb="17">
      <t>ツウショウ</t>
    </rPh>
    <rPh sb="18" eb="20">
      <t>キサイ</t>
    </rPh>
    <rPh sb="25" eb="26">
      <t>カタ</t>
    </rPh>
    <rPh sb="28" eb="29">
      <t>カナラ</t>
    </rPh>
    <rPh sb="30" eb="32">
      <t>ツウショウ</t>
    </rPh>
    <rPh sb="33" eb="35">
      <t>キサイ</t>
    </rPh>
    <phoneticPr fontId="32"/>
  </si>
  <si>
    <t>※　申請する電子証明書の種類に○を付けてください。なお、15歳未満の方又は成年被後見人の方は、</t>
    <rPh sb="2" eb="4">
      <t>シンセイ</t>
    </rPh>
    <rPh sb="6" eb="8">
      <t>デンシ</t>
    </rPh>
    <rPh sb="8" eb="11">
      <t>ショウメイショ</t>
    </rPh>
    <rPh sb="12" eb="14">
      <t>シュルイ</t>
    </rPh>
    <rPh sb="17" eb="18">
      <t>ツ</t>
    </rPh>
    <rPh sb="30" eb="33">
      <t>サイミマン</t>
    </rPh>
    <rPh sb="34" eb="35">
      <t>カタ</t>
    </rPh>
    <rPh sb="35" eb="36">
      <t>マタ</t>
    </rPh>
    <rPh sb="37" eb="43">
      <t>セイネンヒコウケンニン</t>
    </rPh>
    <rPh sb="44" eb="45">
      <t>カタ</t>
    </rPh>
    <phoneticPr fontId="32"/>
  </si>
  <si>
    <t>　　原則として利用者証明用電子証明書のみの発行となります。</t>
    <phoneticPr fontId="32"/>
  </si>
  <si>
    <t>2．申請内容</t>
    <rPh sb="2" eb="4">
      <t>シンセイ</t>
    </rPh>
    <rPh sb="4" eb="6">
      <t>ナイヨウ</t>
    </rPh>
    <phoneticPr fontId="32"/>
  </si>
  <si>
    <t>(1)又は(2)のどちらかにチェックを記入してください。</t>
    <rPh sb="3" eb="4">
      <t>マタ</t>
    </rPh>
    <rPh sb="19" eb="21">
      <t>キニュウ</t>
    </rPh>
    <phoneticPr fontId="32"/>
  </si>
  <si>
    <t xml:space="preserve"> (1)電子証明書の暗証番号を設定する</t>
    <rPh sb="4" eb="6">
      <t>デンシ</t>
    </rPh>
    <rPh sb="6" eb="9">
      <t>ショウメイショ</t>
    </rPh>
    <rPh sb="10" eb="12">
      <t>アンショウ</t>
    </rPh>
    <rPh sb="12" eb="14">
      <t>バンゴウ</t>
    </rPh>
    <rPh sb="15" eb="17">
      <t>セッテイ</t>
    </rPh>
    <phoneticPr fontId="32"/>
  </si>
  <si>
    <t>　新規発行/更新の申請をする電子証明書の項目a又はｂに○を付けてください。</t>
    <rPh sb="1" eb="3">
      <t>シンキ</t>
    </rPh>
    <rPh sb="3" eb="5">
      <t>ハッコウ</t>
    </rPh>
    <rPh sb="6" eb="8">
      <t>コウシン</t>
    </rPh>
    <rPh sb="9" eb="11">
      <t>シンセイ</t>
    </rPh>
    <rPh sb="14" eb="16">
      <t>デンシ</t>
    </rPh>
    <rPh sb="16" eb="19">
      <t>ショウメイショ</t>
    </rPh>
    <rPh sb="20" eb="22">
      <t>コウモク</t>
    </rPh>
    <rPh sb="23" eb="24">
      <t>マタ</t>
    </rPh>
    <rPh sb="29" eb="30">
      <t>ツ</t>
    </rPh>
    <phoneticPr fontId="32"/>
  </si>
  <si>
    <t xml:space="preserve"> 1. 署名用電子証明書の　　　</t>
    <phoneticPr fontId="32"/>
  </si>
  <si>
    <t>a．新規発行　b．更新</t>
    <phoneticPr fontId="32"/>
  </si>
  <si>
    <t xml:space="preserve"> 2. 利用者証明用電子証明書の　</t>
    <phoneticPr fontId="32"/>
  </si>
  <si>
    <r>
      <t xml:space="preserve"> (2)電子証明書の暗証番号を設定しない</t>
    </r>
    <r>
      <rPr>
        <sz val="6"/>
        <rFont val="ＭＳ 明朝"/>
        <family val="1"/>
        <charset val="128"/>
      </rPr>
      <t>（顔認証マイナンバーカード）</t>
    </r>
    <rPh sb="4" eb="6">
      <t>デンシ</t>
    </rPh>
    <rPh sb="6" eb="9">
      <t>ショウメイショ</t>
    </rPh>
    <rPh sb="10" eb="12">
      <t>アンショウ</t>
    </rPh>
    <rPh sb="12" eb="14">
      <t>バンゴウ</t>
    </rPh>
    <rPh sb="15" eb="17">
      <t>セッテイ</t>
    </rPh>
    <rPh sb="21" eb="22">
      <t>カオ</t>
    </rPh>
    <rPh sb="22" eb="24">
      <t>ニンショウ</t>
    </rPh>
    <phoneticPr fontId="32"/>
  </si>
  <si>
    <t>　利用者証明用電子証明書のみ発行を行います。</t>
    <rPh sb="1" eb="4">
      <t>リヨウシャ</t>
    </rPh>
    <rPh sb="4" eb="6">
      <t>ショウメイ</t>
    </rPh>
    <rPh sb="6" eb="7">
      <t>ヨウ</t>
    </rPh>
    <rPh sb="7" eb="9">
      <t>デンシ</t>
    </rPh>
    <rPh sb="9" eb="12">
      <t>ショウメイショ</t>
    </rPh>
    <rPh sb="14" eb="16">
      <t>ハッコウ</t>
    </rPh>
    <rPh sb="17" eb="18">
      <t>オコナ</t>
    </rPh>
    <phoneticPr fontId="32"/>
  </si>
  <si>
    <t>　顔認証マイナンバーカードの利用者証明用電子証明書は、健康保険証としての利用は可能ですが、マイナポータルなど暗証番号の入力を必要とする各種オンラインサービスでは利用できません。</t>
    <phoneticPr fontId="32"/>
  </si>
  <si>
    <t>3．代替対象文字の有無</t>
    <rPh sb="2" eb="4">
      <t>ダイタイ</t>
    </rPh>
    <rPh sb="4" eb="6">
      <t>タイショウ</t>
    </rPh>
    <rPh sb="6" eb="8">
      <t>モジ</t>
    </rPh>
    <rPh sb="9" eb="11">
      <t>ウム</t>
    </rPh>
    <phoneticPr fontId="32"/>
  </si>
  <si>
    <t>　申請される方の住所、氏名のコンピュータ入力に際して、画面上に正確に表示されない文字（代替対象文字）があることを経験上ご存知の場合は、有に○を付けてください。また、そのような場合に常用されている文字があれば、代わりに置き換える文字を選択する際の参考とするため、ご記入ください。
　お分かりにならない場合は、ご記入いただく必要はございません。</t>
    <rPh sb="1" eb="3">
      <t>シンセイ</t>
    </rPh>
    <rPh sb="6" eb="7">
      <t>ホウ</t>
    </rPh>
    <rPh sb="8" eb="10">
      <t>ジュウショ</t>
    </rPh>
    <rPh sb="11" eb="13">
      <t>シメイ</t>
    </rPh>
    <rPh sb="20" eb="22">
      <t>ニュウリョク</t>
    </rPh>
    <rPh sb="23" eb="24">
      <t>サイ</t>
    </rPh>
    <rPh sb="27" eb="30">
      <t>ガメンジョウ</t>
    </rPh>
    <rPh sb="31" eb="33">
      <t>セイカク</t>
    </rPh>
    <rPh sb="34" eb="36">
      <t>ヒョウジ</t>
    </rPh>
    <rPh sb="40" eb="42">
      <t>モジ</t>
    </rPh>
    <rPh sb="43" eb="45">
      <t>ダイタイ</t>
    </rPh>
    <rPh sb="45" eb="47">
      <t>タイショウ</t>
    </rPh>
    <rPh sb="47" eb="49">
      <t>モジ</t>
    </rPh>
    <rPh sb="56" eb="58">
      <t>ケイケン</t>
    </rPh>
    <rPh sb="58" eb="59">
      <t>ジョウ</t>
    </rPh>
    <rPh sb="60" eb="62">
      <t>ゾンジ</t>
    </rPh>
    <rPh sb="67" eb="68">
      <t>ア</t>
    </rPh>
    <rPh sb="71" eb="72">
      <t>ツ</t>
    </rPh>
    <rPh sb="87" eb="89">
      <t>バアイ</t>
    </rPh>
    <rPh sb="90" eb="92">
      <t>ジョウヨウ</t>
    </rPh>
    <rPh sb="97" eb="99">
      <t>モジ</t>
    </rPh>
    <rPh sb="104" eb="105">
      <t>カ</t>
    </rPh>
    <rPh sb="108" eb="109">
      <t>オ</t>
    </rPh>
    <rPh sb="110" eb="111">
      <t>カ</t>
    </rPh>
    <rPh sb="113" eb="115">
      <t>モジ</t>
    </rPh>
    <rPh sb="116" eb="118">
      <t>センタク</t>
    </rPh>
    <rPh sb="120" eb="121">
      <t>サイ</t>
    </rPh>
    <rPh sb="122" eb="124">
      <t>サンコウ</t>
    </rPh>
    <rPh sb="131" eb="133">
      <t>キニュウ</t>
    </rPh>
    <rPh sb="141" eb="142">
      <t>ワ</t>
    </rPh>
    <rPh sb="149" eb="151">
      <t>バアイ</t>
    </rPh>
    <rPh sb="154" eb="156">
      <t>キニュウ</t>
    </rPh>
    <rPh sb="160" eb="162">
      <t>ヒツヨウ</t>
    </rPh>
    <phoneticPr fontId="32"/>
  </si>
  <si>
    <t>代替対象
文字
の有無</t>
    <rPh sb="0" eb="2">
      <t>ダイタイ</t>
    </rPh>
    <rPh sb="2" eb="4">
      <t>タイショウ</t>
    </rPh>
    <rPh sb="5" eb="7">
      <t>モジ</t>
    </rPh>
    <rPh sb="9" eb="11">
      <t>ウム</t>
    </rPh>
    <phoneticPr fontId="32"/>
  </si>
  <si>
    <t>（ 無 ・ 有 ）</t>
    <phoneticPr fontId="32"/>
  </si>
  <si>
    <t>※事務処理記載欄</t>
    <rPh sb="1" eb="3">
      <t>ジム</t>
    </rPh>
    <rPh sb="3" eb="5">
      <t>ショリ</t>
    </rPh>
    <rPh sb="5" eb="7">
      <t>キサイ</t>
    </rPh>
    <rPh sb="7" eb="8">
      <t>ラン</t>
    </rPh>
    <phoneticPr fontId="32"/>
  </si>
  <si>
    <t>令和　  　年　  　月　  　日</t>
    <rPh sb="0" eb="2">
      <t>レイワ</t>
    </rPh>
    <rPh sb="6" eb="7">
      <t>ネン</t>
    </rPh>
    <rPh sb="11" eb="12">
      <t>ガツ</t>
    </rPh>
    <rPh sb="16" eb="17">
      <t>ニチ</t>
    </rPh>
    <phoneticPr fontId="32"/>
  </si>
  <si>
    <t>署名用電子証明書</t>
    <rPh sb="0" eb="2">
      <t>ショメイ</t>
    </rPh>
    <rPh sb="2" eb="3">
      <t>ヨウ</t>
    </rPh>
    <rPh sb="3" eb="5">
      <t>デンシ</t>
    </rPh>
    <rPh sb="5" eb="8">
      <t>ショウメイショ</t>
    </rPh>
    <phoneticPr fontId="32"/>
  </si>
  <si>
    <t>通信の有無</t>
    <phoneticPr fontId="32"/>
  </si>
  <si>
    <t>破棄／職権失効の有無と回数</t>
    <rPh sb="0" eb="2">
      <t>ハキ</t>
    </rPh>
    <phoneticPr fontId="32"/>
  </si>
  <si>
    <t>発行手数料額</t>
  </si>
  <si>
    <t>1．無</t>
    <phoneticPr fontId="32"/>
  </si>
  <si>
    <t>　　　1．無</t>
    <phoneticPr fontId="32"/>
  </si>
  <si>
    <t>　　　　　　　　　　円</t>
    <rPh sb="10" eb="11">
      <t>エン</t>
    </rPh>
    <phoneticPr fontId="32"/>
  </si>
  <si>
    <t>2．有　　（　　　）回</t>
    <phoneticPr fontId="32"/>
  </si>
  <si>
    <t>　　　2．有　　（　　　）回</t>
    <phoneticPr fontId="32"/>
  </si>
  <si>
    <t>無通信、破棄／職権失効及び発行手数料無料の理由</t>
    <phoneticPr fontId="32"/>
  </si>
  <si>
    <t>利用者証明用電子証明書</t>
    <rPh sb="0" eb="3">
      <t>リヨウシャ</t>
    </rPh>
    <rPh sb="3" eb="5">
      <t>ショウメイ</t>
    </rPh>
    <rPh sb="5" eb="6">
      <t>ヨウ</t>
    </rPh>
    <rPh sb="6" eb="8">
      <t>デンシ</t>
    </rPh>
    <rPh sb="8" eb="11">
      <t>ショウメイショ</t>
    </rPh>
    <phoneticPr fontId="32"/>
  </si>
  <si>
    <t>通信の有無</t>
    <phoneticPr fontId="32"/>
  </si>
  <si>
    <t>1．無</t>
    <phoneticPr fontId="32"/>
  </si>
  <si>
    <t>2．有　　（　　　）回</t>
    <phoneticPr fontId="32"/>
  </si>
  <si>
    <t>　　　2．有　　（　　　）回</t>
    <phoneticPr fontId="32"/>
  </si>
  <si>
    <t>無通信、破棄／職権失効及び発行手数料無料の理由</t>
    <phoneticPr fontId="32"/>
  </si>
  <si>
    <t>男</t>
  </si>
  <si>
    <t>乙川　二郎</t>
  </si>
  <si>
    <t>オツカワ　ジロウ</t>
  </si>
  <si>
    <t>中央二丁目２番地</t>
  </si>
  <si>
    <t>２番地</t>
  </si>
  <si>
    <t>サンプル県サンプル市中央二丁目２番地</t>
  </si>
  <si>
    <t>乙川 二郎</t>
  </si>
  <si>
    <t xml:space="preserve">芽室町中央二丁目２番地 </t>
  </si>
  <si>
    <t>昭21. 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</si>
</sst>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76" formatCode="[$-411]ggge&quot;年&quot;m&quot;月&quot;d&quot;日&quot;;@"/>
    <numFmt numFmtId="177" formatCode="0_ "/>
    <numFmt numFmtId="178" formatCode="General&quot;円&quot;"/>
    <numFmt numFmtId="179" formatCode="&quot;各 &quot;General&quot;円&quot;"/>
    <numFmt numFmtId="180" formatCode="General&quot;通&quot;"/>
    <numFmt numFmtId="181" formatCode="General&quot;筆&quot;"/>
  </numFmts>
  <fonts count="59">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65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BIZ UDPゴシック"/>
      <family val="3"/>
      <charset val="128"/>
    </font>
    <font>
      <sz val="28"/>
      <color theme="1"/>
      <name val="BIZ UDPゴシック"/>
      <family val="3"/>
      <charset val="128"/>
    </font>
    <font>
      <sz val="14"/>
      <color theme="1"/>
      <name val="BIZ UDPゴシック"/>
      <family val="3"/>
      <charset val="128"/>
    </font>
    <font>
      <sz val="16"/>
      <color theme="1"/>
      <name val="BIZ UDPゴシック"/>
      <family val="3"/>
      <charset val="128"/>
    </font>
    <font>
      <sz val="12"/>
      <color theme="1"/>
      <name val="BIZ UDPゴシック"/>
      <family val="3"/>
      <charset val="128"/>
    </font>
    <font>
      <sz val="18"/>
      <color theme="1"/>
      <name val="BIZ UDPゴシック"/>
      <family val="3"/>
      <charset val="128"/>
    </font>
    <font>
      <sz val="22"/>
      <color theme="1"/>
      <name val="BIZ UDPゴシック"/>
      <family val="3"/>
      <charset val="128"/>
    </font>
    <font>
      <sz val="11"/>
      <color theme="1"/>
      <name val="BIZ UDP明朝 Medium"/>
      <family val="1"/>
      <charset val="128"/>
    </font>
    <font>
      <sz val="14"/>
      <color theme="1"/>
      <name val="BIZ UDP明朝 Medium"/>
      <family val="1"/>
      <charset val="128"/>
    </font>
    <font>
      <sz val="9"/>
      <color theme="1"/>
      <name val="BIZ UDP明朝 Medium"/>
      <family val="1"/>
      <charset val="128"/>
    </font>
    <font>
      <sz val="10"/>
      <name val="ＭＳ Ｐゴシック"/>
      <family val="3"/>
      <charset val="128"/>
    </font>
    <font>
      <sz val="10"/>
      <name val="ＭＳ 明朝"/>
      <family val="1"/>
      <charset val="128"/>
    </font>
    <font>
      <b/>
      <sz val="12"/>
      <name val="ＭＳ 明朝"/>
      <family val="1"/>
      <charset val="128"/>
    </font>
    <font>
      <sz val="6"/>
      <name val="ＭＳ Ｐゴシック"/>
      <family val="3"/>
      <charset val="128"/>
    </font>
    <font>
      <b/>
      <sz val="10"/>
      <name val="ＭＳ 明朝"/>
      <family val="1"/>
      <charset val="128"/>
    </font>
    <font>
      <sz val="9"/>
      <name val="ＭＳ 明朝"/>
      <family val="1"/>
      <charset val="128"/>
    </font>
    <font>
      <sz val="9"/>
      <name val="ＭＳ Ｐゴシック"/>
      <family val="3"/>
      <charset val="128"/>
    </font>
    <font>
      <sz val="8"/>
      <name val="ＭＳ 明朝"/>
      <family val="1"/>
      <charset val="128"/>
    </font>
    <font>
      <sz val="12"/>
      <name val="ＭＳ 明朝"/>
      <family val="1"/>
      <charset val="128"/>
    </font>
    <font>
      <sz val="6"/>
      <name val="ＭＳ 明朝"/>
      <family val="1"/>
      <charset val="128"/>
    </font>
    <font>
      <sz val="11"/>
      <name val="ＭＳ 明朝"/>
      <family val="1"/>
      <charset val="128"/>
    </font>
    <font>
      <sz val="12"/>
      <color theme="1"/>
      <name val="BIZ UDP明朝 Medium"/>
      <family val="1"/>
      <charset val="128"/>
    </font>
    <font>
      <b/>
      <sz val="9"/>
      <name val="ＭＳ 明朝"/>
      <family val="1"/>
      <charset val="128"/>
    </font>
    <font>
      <sz val="9"/>
      <color indexed="81"/>
      <name val="MS P ゴシック"/>
      <family val="3"/>
      <charset val="128"/>
    </font>
    <font>
      <b/>
      <sz val="9"/>
      <color indexed="81"/>
      <name val="MS P ゴシック"/>
      <family val="3"/>
      <charset val="128"/>
    </font>
    <font>
      <sz val="20"/>
      <color theme="1"/>
      <name val="BIZ UDPゴシック"/>
      <family val="3"/>
      <charset val="128"/>
    </font>
    <font>
      <sz val="14"/>
      <color rgb="FFFF0000"/>
      <name val="BIZ UDPゴシック"/>
      <family val="3"/>
      <charset val="128"/>
    </font>
    <font>
      <b/>
      <sz val="8.5"/>
      <name val="ＭＳ 明朝"/>
      <family val="1"/>
      <charset val="128"/>
    </font>
    <font>
      <b/>
      <sz val="6"/>
      <name val="ＭＳ 明朝"/>
      <family val="1"/>
      <charset val="128"/>
    </font>
    <font>
      <sz val="7"/>
      <name val="ＭＳ 明朝"/>
      <family val="1"/>
      <charset val="128"/>
    </font>
    <font>
      <sz val="8"/>
      <color rgb="FFFF0000"/>
      <name val="ＭＳ 明朝"/>
      <family val="1"/>
      <charset val="128"/>
    </font>
    <font>
      <sz val="20"/>
      <name val="ＭＳ 明朝"/>
      <family val="1"/>
      <charset val="128"/>
    </font>
    <font>
      <sz val="5"/>
      <name val="ＭＳ 明朝"/>
      <family val="1"/>
      <charset val="128"/>
    </font>
    <font>
      <sz val="22"/>
      <color theme="1"/>
      <name val="REAMSmj明朝標準化版"/>
      <family val="1"/>
      <charset val="128"/>
    </font>
    <font>
      <sz val="14"/>
      <color theme="1"/>
      <name val="REAMSmj明朝標準化版"/>
      <family val="1"/>
      <charset val="128"/>
    </font>
    <font>
      <sz val="14"/>
      <name val="REAMSmj明朝標準化版"/>
      <family val="1"/>
      <charset val="128"/>
    </font>
    <font>
      <sz val="6"/>
      <name val="REAMSmj明朝標準化版"/>
      <family val="1"/>
      <charset val="128"/>
    </font>
    <font>
      <sz val="12"/>
      <name val="REAMSmj明朝標準化版"/>
      <family val="1"/>
      <charset val="128"/>
    </font>
    <font>
      <sz val="10"/>
      <name val="REAMSmj明朝標準化版"/>
      <family val="1"/>
      <charset val="128"/>
    </font>
    <font>
      <sz val="11"/>
      <name val="ＭＳ Ｐゴシック"/>
      <family val="3"/>
      <charset val="128"/>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79998168889431442"/>
        <bgColor indexed="64"/>
      </patternFill>
    </fill>
  </fills>
  <borders count="9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top style="thin">
        <color indexed="64"/>
      </top>
      <bottom/>
      <diagonal/>
    </border>
    <border>
      <left style="thin">
        <color indexed="64"/>
      </left>
      <right/>
      <top/>
      <bottom/>
      <diagonal/>
    </border>
    <border>
      <left style="medium">
        <color indexed="64"/>
      </left>
      <right style="thin">
        <color auto="1"/>
      </right>
      <top style="medium">
        <color indexed="64"/>
      </top>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right style="thin">
        <color auto="1"/>
      </right>
      <top style="medium">
        <color indexed="64"/>
      </top>
      <bottom style="thin">
        <color auto="1"/>
      </bottom>
      <diagonal/>
    </border>
    <border>
      <left style="thin">
        <color auto="1"/>
      </left>
      <right/>
      <top style="medium">
        <color indexed="64"/>
      </top>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right style="thin">
        <color auto="1"/>
      </right>
      <top style="thin">
        <color auto="1"/>
      </top>
      <bottom style="medium">
        <color indexed="64"/>
      </bottom>
      <diagonal/>
    </border>
    <border>
      <left style="thin">
        <color auto="1"/>
      </left>
      <right/>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right style="medium">
        <color indexed="64"/>
      </right>
      <top style="thin">
        <color auto="1"/>
      </top>
      <bottom style="medium">
        <color indexed="64"/>
      </bottom>
      <diagonal/>
    </border>
    <border>
      <left/>
      <right/>
      <top style="thin">
        <color auto="1"/>
      </top>
      <bottom style="medium">
        <color indexed="64"/>
      </bottom>
      <diagonal/>
    </border>
    <border>
      <left/>
      <right style="medium">
        <color indexed="64"/>
      </right>
      <top/>
      <bottom style="thin">
        <color auto="1"/>
      </bottom>
      <diagonal/>
    </border>
    <border>
      <left/>
      <right style="medium">
        <color indexed="64"/>
      </right>
      <top style="thin">
        <color auto="1"/>
      </top>
      <bottom/>
      <diagonal/>
    </border>
    <border>
      <left style="medium">
        <color indexed="64"/>
      </left>
      <right style="thin">
        <color auto="1"/>
      </right>
      <top/>
      <bottom style="thin">
        <color auto="1"/>
      </bottom>
      <diagonal/>
    </border>
    <border>
      <left/>
      <right/>
      <top style="medium">
        <color indexed="64"/>
      </top>
      <bottom style="thin">
        <color auto="1"/>
      </bottom>
      <diagonal/>
    </border>
    <border>
      <left style="medium">
        <color indexed="64"/>
      </left>
      <right/>
      <top/>
      <bottom style="thin">
        <color auto="1"/>
      </bottom>
      <diagonal/>
    </border>
    <border>
      <left style="medium">
        <color indexed="64"/>
      </left>
      <right style="thin">
        <color auto="1"/>
      </right>
      <top style="thin">
        <color auto="1"/>
      </top>
      <bottom/>
      <diagonal/>
    </border>
    <border>
      <left/>
      <right/>
      <top style="medium">
        <color indexed="64"/>
      </top>
      <bottom style="dashDot">
        <color indexed="64"/>
      </bottom>
      <diagonal/>
    </border>
    <border>
      <left/>
      <right style="thin">
        <color auto="1"/>
      </right>
      <top style="medium">
        <color indexed="64"/>
      </top>
      <bottom style="dashDot">
        <color indexed="64"/>
      </bottom>
      <diagonal/>
    </border>
    <border>
      <left style="thin">
        <color indexed="64"/>
      </left>
      <right/>
      <top style="dashDot">
        <color indexed="64"/>
      </top>
      <bottom/>
      <diagonal/>
    </border>
    <border>
      <left style="thin">
        <color auto="1"/>
      </left>
      <right style="thin">
        <color auto="1"/>
      </right>
      <top/>
      <bottom style="medium">
        <color indexed="64"/>
      </bottom>
      <diagonal/>
    </border>
    <border>
      <left style="thin">
        <color auto="1"/>
      </left>
      <right style="medium">
        <color indexed="64"/>
      </right>
      <top style="thin">
        <color auto="1"/>
      </top>
      <bottom/>
      <diagonal/>
    </border>
    <border>
      <left style="thin">
        <color auto="1"/>
      </left>
      <right style="thin">
        <color auto="1"/>
      </right>
      <top/>
      <bottom/>
      <diagonal/>
    </border>
    <border>
      <left style="medium">
        <color indexed="64"/>
      </left>
      <right style="thin">
        <color auto="1"/>
      </right>
      <top/>
      <bottom style="double">
        <color indexed="64"/>
      </bottom>
      <diagonal/>
    </border>
    <border>
      <left/>
      <right/>
      <top style="double">
        <color indexed="64"/>
      </top>
      <bottom/>
      <diagonal/>
    </border>
    <border>
      <left style="double">
        <color indexed="64"/>
      </left>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thin">
        <color indexed="64"/>
      </right>
      <top style="double">
        <color indexed="64"/>
      </top>
      <bottom/>
      <diagonal/>
    </border>
    <border>
      <left/>
      <right style="thin">
        <color indexed="64"/>
      </right>
      <top/>
      <bottom style="double">
        <color indexed="64"/>
      </bottom>
      <diagonal/>
    </border>
    <border>
      <left/>
      <right style="double">
        <color indexed="64"/>
      </right>
      <top style="double">
        <color indexed="64"/>
      </top>
      <bottom/>
      <diagonal/>
    </border>
    <border>
      <left/>
      <right style="double">
        <color indexed="64"/>
      </right>
      <top/>
      <bottom style="double">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diagonalUp="1">
      <left style="thin">
        <color indexed="64"/>
      </left>
      <right style="medium">
        <color indexed="64"/>
      </right>
      <top style="thin">
        <color indexed="64"/>
      </top>
      <bottom style="thin">
        <color indexed="64"/>
      </bottom>
      <diagonal style="thin">
        <color indexed="64"/>
      </diagonal>
    </border>
    <border diagonalUp="1">
      <left style="thin">
        <color indexed="64"/>
      </left>
      <right style="medium">
        <color indexed="64"/>
      </right>
      <top/>
      <bottom/>
      <diagonal style="thin">
        <color indexed="64"/>
      </diagonal>
    </border>
    <border>
      <left style="thin">
        <color indexed="64"/>
      </left>
      <right style="medium">
        <color indexed="64"/>
      </right>
      <top style="medium">
        <color indexed="64"/>
      </top>
      <bottom/>
      <diagonal/>
    </border>
    <border diagonalUp="1">
      <left style="thin">
        <color indexed="64"/>
      </left>
      <right style="medium">
        <color indexed="64"/>
      </right>
      <top style="thin">
        <color indexed="64"/>
      </top>
      <bottom/>
      <diagonal style="thin">
        <color indexed="64"/>
      </diagonal>
    </border>
    <border diagonalUp="1">
      <left style="thin">
        <color indexed="64"/>
      </left>
      <right style="medium">
        <color indexed="64"/>
      </right>
      <top/>
      <bottom style="medium">
        <color indexed="64"/>
      </bottom>
      <diagonal style="thin">
        <color indexed="64"/>
      </diagonal>
    </border>
    <border diagonalUp="1">
      <left style="thin">
        <color indexed="64"/>
      </left>
      <right style="medium">
        <color indexed="64"/>
      </right>
      <top style="medium">
        <color indexed="64"/>
      </top>
      <bottom/>
      <diagonal style="thin">
        <color indexed="64"/>
      </diagonal>
    </border>
    <border diagonalUp="1">
      <left style="thin">
        <color indexed="64"/>
      </left>
      <right style="medium">
        <color indexed="64"/>
      </right>
      <top style="thin">
        <color indexed="64"/>
      </top>
      <bottom style="medium">
        <color indexed="64"/>
      </bottom>
      <diagonal style="thin">
        <color indexed="64"/>
      </diagonal>
    </border>
    <border>
      <left/>
      <right/>
      <top style="dashDot">
        <color indexed="64"/>
      </top>
      <bottom/>
      <diagonal/>
    </border>
    <border>
      <left/>
      <right style="thin">
        <color auto="1"/>
      </right>
      <top style="dashDot">
        <color indexed="64"/>
      </top>
      <bottom/>
      <diagonal/>
    </border>
    <border>
      <left/>
      <right/>
      <top/>
      <bottom style="dotted">
        <color auto="1"/>
      </bottom>
      <diagonal/>
    </border>
    <border>
      <left/>
      <right/>
      <top style="thin">
        <color indexed="64"/>
      </top>
      <bottom style="dotted">
        <color indexed="64"/>
      </bottom>
      <diagonal/>
    </border>
    <border>
      <left style="thin">
        <color indexed="64"/>
      </left>
      <right/>
      <top style="thin">
        <color indexed="64"/>
      </top>
      <bottom style="double">
        <color indexed="64"/>
      </bottom>
      <diagonal/>
    </border>
    <border>
      <left/>
      <right/>
      <top style="dotted">
        <color indexed="64"/>
      </top>
      <bottom/>
      <diagonal/>
    </border>
    <border>
      <left style="thin">
        <color indexed="64"/>
      </left>
      <right/>
      <top style="dotted">
        <color indexed="64"/>
      </top>
      <bottom/>
      <diagonal/>
    </border>
    <border>
      <left/>
      <right style="thin">
        <color indexed="64"/>
      </right>
      <top style="dotted">
        <color indexed="64"/>
      </top>
      <bottom/>
      <diagonal/>
    </border>
    <border>
      <left/>
      <right/>
      <top style="thin">
        <color auto="1"/>
      </top>
      <bottom style="double">
        <color indexed="64"/>
      </bottom>
      <diagonal/>
    </border>
    <border>
      <left style="dotted">
        <color indexed="64"/>
      </left>
      <right/>
      <top style="thin">
        <color indexed="64"/>
      </top>
      <bottom style="thin">
        <color indexed="64"/>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38" fontId="1" fillId="0" borderId="0" applyFont="0" applyFill="0" applyBorder="0" applyAlignment="0" applyProtection="0">
      <alignment vertical="center"/>
    </xf>
    <xf numFmtId="0" fontId="58" fillId="0" borderId="0">
      <alignment vertical="center"/>
    </xf>
  </cellStyleXfs>
  <cellXfs count="737">
    <xf numFmtId="0" fontId="0" fillId="0" borderId="0" xfId="0">
      <alignment vertical="center"/>
    </xf>
    <xf numFmtId="0" fontId="19" fillId="0" borderId="0" xfId="0" applyFont="1">
      <alignment vertical="center"/>
    </xf>
    <xf numFmtId="0" fontId="21" fillId="0" borderId="0" xfId="0" applyFont="1">
      <alignment vertical="center"/>
    </xf>
    <xf numFmtId="0" fontId="19" fillId="0" borderId="0" xfId="0" applyFont="1" applyBorder="1">
      <alignment vertical="center"/>
    </xf>
    <xf numFmtId="0" fontId="21" fillId="0" borderId="15" xfId="0" applyFont="1" applyBorder="1" applyAlignment="1">
      <alignment horizontal="center" vertical="center"/>
    </xf>
    <xf numFmtId="0" fontId="19" fillId="0" borderId="0" xfId="0" applyFont="1" applyBorder="1" applyAlignment="1">
      <alignment vertical="center"/>
    </xf>
    <xf numFmtId="0" fontId="21" fillId="0" borderId="15" xfId="0" applyFont="1" applyBorder="1">
      <alignment vertical="center"/>
    </xf>
    <xf numFmtId="0" fontId="21" fillId="0" borderId="20" xfId="0" applyFont="1" applyBorder="1">
      <alignment vertical="center"/>
    </xf>
    <xf numFmtId="0" fontId="21" fillId="0" borderId="22" xfId="0" applyFont="1" applyBorder="1">
      <alignment vertical="center"/>
    </xf>
    <xf numFmtId="0" fontId="21" fillId="0" borderId="17" xfId="0" applyFont="1" applyBorder="1">
      <alignment vertical="center"/>
    </xf>
    <xf numFmtId="0" fontId="21" fillId="0" borderId="19" xfId="0" applyFont="1" applyBorder="1">
      <alignment vertical="center"/>
    </xf>
    <xf numFmtId="0" fontId="21" fillId="0" borderId="21" xfId="0" applyFont="1" applyBorder="1">
      <alignment vertical="center"/>
    </xf>
    <xf numFmtId="0" fontId="21" fillId="0" borderId="24" xfId="0" applyFont="1" applyBorder="1">
      <alignment vertical="center"/>
    </xf>
    <xf numFmtId="0" fontId="21" fillId="0" borderId="30" xfId="0" applyFont="1" applyBorder="1">
      <alignment vertical="center"/>
    </xf>
    <xf numFmtId="0" fontId="21" fillId="0" borderId="37" xfId="0" applyFont="1" applyBorder="1">
      <alignment vertical="center"/>
    </xf>
    <xf numFmtId="0" fontId="21" fillId="0" borderId="40" xfId="0" applyFont="1" applyBorder="1" applyAlignment="1">
      <alignment horizontal="center" vertical="center"/>
    </xf>
    <xf numFmtId="0" fontId="21" fillId="0" borderId="41" xfId="0" applyFont="1" applyBorder="1" applyAlignment="1">
      <alignment horizontal="center" vertical="center"/>
    </xf>
    <xf numFmtId="0" fontId="21" fillId="0" borderId="43" xfId="0" applyFont="1" applyBorder="1" applyAlignment="1">
      <alignment horizontal="center" vertical="center"/>
    </xf>
    <xf numFmtId="0" fontId="21" fillId="33" borderId="42" xfId="0" applyFont="1" applyFill="1" applyBorder="1" applyAlignment="1">
      <alignment horizontal="center" vertical="center"/>
    </xf>
    <xf numFmtId="0" fontId="22" fillId="0" borderId="0" xfId="0" applyFont="1">
      <alignment vertical="center"/>
    </xf>
    <xf numFmtId="0" fontId="21" fillId="0" borderId="0" xfId="0" applyFont="1" applyFill="1" applyBorder="1" applyAlignment="1">
      <alignment vertical="center" wrapText="1"/>
    </xf>
    <xf numFmtId="0" fontId="21" fillId="0" borderId="45" xfId="0" applyFont="1" applyBorder="1" applyAlignment="1">
      <alignment horizontal="center" vertical="center"/>
    </xf>
    <xf numFmtId="0" fontId="21" fillId="0" borderId="33" xfId="0" applyFont="1" applyBorder="1" applyAlignment="1">
      <alignment horizontal="left"/>
    </xf>
    <xf numFmtId="0" fontId="23" fillId="0" borderId="17" xfId="0" applyFont="1" applyBorder="1" applyAlignment="1">
      <alignment horizontal="left" vertical="top"/>
    </xf>
    <xf numFmtId="0" fontId="21" fillId="0" borderId="28" xfId="0" applyFont="1" applyBorder="1" applyAlignment="1">
      <alignment horizontal="left"/>
    </xf>
    <xf numFmtId="0" fontId="21" fillId="0" borderId="18" xfId="0" applyFont="1" applyBorder="1">
      <alignment vertical="center"/>
    </xf>
    <xf numFmtId="0" fontId="21" fillId="0" borderId="31" xfId="0" applyFont="1" applyBorder="1" applyAlignment="1">
      <alignment horizontal="left" vertical="center"/>
    </xf>
    <xf numFmtId="0" fontId="21" fillId="0" borderId="48" xfId="0" applyFont="1" applyBorder="1" applyAlignment="1">
      <alignment horizontal="left" vertical="center"/>
    </xf>
    <xf numFmtId="0" fontId="21" fillId="0" borderId="32" xfId="0" applyFont="1" applyBorder="1" applyAlignment="1">
      <alignment horizontal="left" vertical="center"/>
    </xf>
    <xf numFmtId="0" fontId="21" fillId="0" borderId="20" xfId="0" applyFont="1" applyBorder="1" applyAlignment="1">
      <alignment horizontal="left" vertical="center"/>
    </xf>
    <xf numFmtId="0" fontId="21" fillId="0" borderId="28" xfId="0" applyFont="1" applyBorder="1" applyAlignment="1">
      <alignment horizontal="left" vertical="center"/>
    </xf>
    <xf numFmtId="0" fontId="21" fillId="0" borderId="0" xfId="0" applyFont="1" applyBorder="1" applyAlignment="1">
      <alignment horizontal="left" vertical="center"/>
    </xf>
    <xf numFmtId="0" fontId="21" fillId="0" borderId="26" xfId="0" applyFont="1" applyBorder="1" applyAlignment="1">
      <alignment horizontal="left" vertical="center"/>
    </xf>
    <xf numFmtId="0" fontId="21" fillId="0" borderId="18" xfId="0" applyFont="1" applyBorder="1" applyAlignment="1">
      <alignment horizontal="left" vertical="center"/>
    </xf>
    <xf numFmtId="0" fontId="21" fillId="0" borderId="19" xfId="0" applyFont="1" applyBorder="1" applyAlignment="1">
      <alignment horizontal="left" vertical="center"/>
    </xf>
    <xf numFmtId="0" fontId="21" fillId="0" borderId="54" xfId="0" applyFont="1" applyBorder="1">
      <alignment vertical="center"/>
    </xf>
    <xf numFmtId="0" fontId="21" fillId="0" borderId="56" xfId="0" applyFont="1" applyBorder="1">
      <alignment vertical="center"/>
    </xf>
    <xf numFmtId="0" fontId="21" fillId="0" borderId="28" xfId="0" applyFont="1" applyBorder="1">
      <alignment vertical="center"/>
    </xf>
    <xf numFmtId="0" fontId="21" fillId="0" borderId="26" xfId="0" applyFont="1" applyBorder="1">
      <alignment vertical="center"/>
    </xf>
    <xf numFmtId="0" fontId="21" fillId="0" borderId="10" xfId="0" applyFont="1" applyBorder="1" applyAlignment="1">
      <alignment horizontal="center" vertical="center"/>
    </xf>
    <xf numFmtId="0" fontId="21" fillId="0" borderId="44" xfId="0" applyFont="1" applyBorder="1">
      <alignment vertical="center"/>
    </xf>
    <xf numFmtId="0" fontId="21" fillId="0" borderId="12" xfId="0" applyFont="1" applyBorder="1">
      <alignment vertical="center"/>
    </xf>
    <xf numFmtId="0" fontId="19" fillId="0" borderId="0" xfId="0" applyFont="1" applyFill="1">
      <alignment vertical="center"/>
    </xf>
    <xf numFmtId="0" fontId="22" fillId="0" borderId="0" xfId="0" applyFont="1" applyBorder="1">
      <alignment vertical="center"/>
    </xf>
    <xf numFmtId="0" fontId="21" fillId="0" borderId="0" xfId="0" applyFont="1" applyBorder="1" applyAlignment="1">
      <alignment horizontal="center" vertical="center"/>
    </xf>
    <xf numFmtId="0" fontId="21" fillId="0" borderId="0" xfId="0" applyFont="1" applyBorder="1" applyAlignment="1">
      <alignment vertical="center"/>
    </xf>
    <xf numFmtId="0" fontId="21" fillId="0" borderId="33" xfId="0" applyFont="1" applyBorder="1" applyAlignment="1">
      <alignment vertical="center" shrinkToFit="1"/>
    </xf>
    <xf numFmtId="0" fontId="21" fillId="0" borderId="48" xfId="0" applyFont="1" applyBorder="1" applyAlignment="1">
      <alignment horizontal="center" vertical="center"/>
    </xf>
    <xf numFmtId="0" fontId="21" fillId="0" borderId="27" xfId="0" applyFont="1" applyBorder="1" applyAlignment="1">
      <alignment horizontal="center" vertical="center"/>
    </xf>
    <xf numFmtId="0" fontId="21" fillId="33" borderId="42" xfId="0" applyFont="1" applyFill="1" applyBorder="1" applyAlignment="1">
      <alignment horizontal="center" vertical="center" wrapText="1"/>
    </xf>
    <xf numFmtId="0" fontId="21" fillId="33" borderId="67" xfId="0" applyFont="1" applyFill="1" applyBorder="1" applyAlignment="1">
      <alignment horizontal="center" vertical="center" wrapText="1"/>
    </xf>
    <xf numFmtId="0" fontId="19" fillId="0" borderId="0" xfId="0" applyFont="1" applyAlignment="1">
      <alignment vertical="center" shrinkToFit="1"/>
    </xf>
    <xf numFmtId="0" fontId="19" fillId="0" borderId="72" xfId="0" applyFont="1" applyBorder="1" applyAlignment="1">
      <alignment horizontal="right" vertical="center"/>
    </xf>
    <xf numFmtId="0" fontId="21" fillId="0" borderId="21" xfId="0" applyFont="1" applyBorder="1" applyAlignment="1">
      <alignment horizontal="center" vertical="center"/>
    </xf>
    <xf numFmtId="0" fontId="19" fillId="0" borderId="73" xfId="0" applyFont="1" applyBorder="1" applyAlignment="1">
      <alignment horizontal="right" vertical="center"/>
    </xf>
    <xf numFmtId="0" fontId="19" fillId="0" borderId="74" xfId="0" applyFont="1" applyBorder="1">
      <alignment vertical="center"/>
    </xf>
    <xf numFmtId="0" fontId="19" fillId="0" borderId="75" xfId="0" applyFont="1" applyBorder="1">
      <alignment vertical="center"/>
    </xf>
    <xf numFmtId="0" fontId="19" fillId="0" borderId="74" xfId="0" applyFont="1" applyBorder="1" applyAlignment="1">
      <alignment vertical="center"/>
    </xf>
    <xf numFmtId="0" fontId="21" fillId="0" borderId="12" xfId="0" applyFont="1" applyBorder="1" applyAlignment="1">
      <alignment horizontal="center" vertical="center"/>
    </xf>
    <xf numFmtId="0" fontId="21" fillId="0" borderId="44" xfId="0" applyFont="1" applyBorder="1" applyAlignment="1">
      <alignment horizontal="center" vertical="center"/>
    </xf>
    <xf numFmtId="0" fontId="19" fillId="0" borderId="76" xfId="0" applyFont="1" applyBorder="1" applyAlignment="1">
      <alignment horizontal="right" vertical="center"/>
    </xf>
    <xf numFmtId="0" fontId="19" fillId="0" borderId="77" xfId="0" applyFont="1" applyBorder="1">
      <alignment vertical="center"/>
    </xf>
    <xf numFmtId="0" fontId="19" fillId="0" borderId="55" xfId="0" applyFont="1" applyBorder="1" applyAlignment="1">
      <alignment horizontal="right" vertical="center"/>
    </xf>
    <xf numFmtId="0" fontId="19" fillId="0" borderId="74" xfId="0" applyFont="1" applyBorder="1" applyAlignment="1">
      <alignment vertical="center" shrinkToFit="1"/>
    </xf>
    <xf numFmtId="0" fontId="19" fillId="0" borderId="78" xfId="0" applyFont="1" applyBorder="1" applyAlignment="1">
      <alignment horizontal="right" vertical="center"/>
    </xf>
    <xf numFmtId="0" fontId="19" fillId="0" borderId="79" xfId="0" applyFont="1" applyBorder="1">
      <alignment vertical="center"/>
    </xf>
    <xf numFmtId="0" fontId="19" fillId="0" borderId="80" xfId="0" applyFont="1" applyBorder="1">
      <alignment vertical="center"/>
    </xf>
    <xf numFmtId="0" fontId="21" fillId="0" borderId="17" xfId="0" applyFont="1" applyBorder="1" applyAlignment="1">
      <alignment horizontal="left" vertical="center"/>
    </xf>
    <xf numFmtId="0" fontId="21" fillId="0" borderId="22" xfId="0" applyFont="1" applyBorder="1" applyAlignment="1">
      <alignment horizontal="left" vertical="center"/>
    </xf>
    <xf numFmtId="0" fontId="21" fillId="0" borderId="32" xfId="0" applyFont="1" applyBorder="1">
      <alignment vertical="center"/>
    </xf>
    <xf numFmtId="0" fontId="21" fillId="0" borderId="21" xfId="0" applyFont="1" applyBorder="1" applyAlignment="1">
      <alignment horizontal="left" vertical="center"/>
    </xf>
    <xf numFmtId="0" fontId="19" fillId="0" borderId="64" xfId="0" applyFont="1" applyBorder="1" applyAlignment="1">
      <alignment vertical="center"/>
    </xf>
    <xf numFmtId="0" fontId="19" fillId="0" borderId="65" xfId="0" applyFont="1" applyBorder="1" applyAlignment="1">
      <alignment vertical="center"/>
    </xf>
    <xf numFmtId="0" fontId="19" fillId="0" borderId="61" xfId="0" applyFont="1" applyBorder="1">
      <alignment vertical="center"/>
    </xf>
    <xf numFmtId="0" fontId="23" fillId="0" borderId="17" xfId="0" applyFont="1" applyBorder="1" applyAlignment="1">
      <alignment vertical="center" wrapText="1"/>
    </xf>
    <xf numFmtId="14" fontId="19" fillId="0" borderId="0" xfId="0" applyNumberFormat="1" applyFont="1">
      <alignment vertical="center"/>
    </xf>
    <xf numFmtId="0" fontId="26" fillId="0" borderId="0" xfId="0" applyFont="1">
      <alignment vertical="center"/>
    </xf>
    <xf numFmtId="0" fontId="26" fillId="0" borderId="27" xfId="0" applyFont="1" applyBorder="1">
      <alignment vertical="center"/>
    </xf>
    <xf numFmtId="0" fontId="26" fillId="0" borderId="25" xfId="0" applyFont="1" applyBorder="1">
      <alignment vertical="center"/>
    </xf>
    <xf numFmtId="0" fontId="26" fillId="0" borderId="16" xfId="0" applyFont="1" applyBorder="1">
      <alignment vertical="center"/>
    </xf>
    <xf numFmtId="0" fontId="26" fillId="0" borderId="28" xfId="0" applyFont="1" applyBorder="1">
      <alignment vertical="center"/>
    </xf>
    <xf numFmtId="0" fontId="26" fillId="0" borderId="0" xfId="0" applyFont="1" applyBorder="1">
      <alignment vertical="center"/>
    </xf>
    <xf numFmtId="0" fontId="26" fillId="0" borderId="26" xfId="0" applyFont="1" applyBorder="1">
      <alignment vertical="center"/>
    </xf>
    <xf numFmtId="0" fontId="26" fillId="0" borderId="17" xfId="0" applyFont="1" applyBorder="1">
      <alignment vertical="center"/>
    </xf>
    <xf numFmtId="0" fontId="26" fillId="0" borderId="18" xfId="0" applyFont="1" applyBorder="1">
      <alignment vertical="center"/>
    </xf>
    <xf numFmtId="0" fontId="26" fillId="0" borderId="19" xfId="0" applyFont="1" applyBorder="1">
      <alignment vertical="center"/>
    </xf>
    <xf numFmtId="0" fontId="26" fillId="0" borderId="21" xfId="0" applyFont="1" applyBorder="1">
      <alignment vertical="center"/>
    </xf>
    <xf numFmtId="0" fontId="26" fillId="0" borderId="20" xfId="0" applyFont="1" applyBorder="1" applyAlignment="1">
      <alignment vertical="center"/>
    </xf>
    <xf numFmtId="0" fontId="26" fillId="0" borderId="21" xfId="0" applyFont="1" applyBorder="1" applyAlignment="1">
      <alignment vertical="center"/>
    </xf>
    <xf numFmtId="0" fontId="26" fillId="0" borderId="20" xfId="0" applyFont="1" applyBorder="1">
      <alignment vertical="center"/>
    </xf>
    <xf numFmtId="0" fontId="26" fillId="0" borderId="22" xfId="0" applyFont="1" applyBorder="1">
      <alignment vertical="center"/>
    </xf>
    <xf numFmtId="0" fontId="26" fillId="0" borderId="0" xfId="0" applyFont="1" applyBorder="1" applyAlignment="1">
      <alignment vertical="center"/>
    </xf>
    <xf numFmtId="0" fontId="26" fillId="0" borderId="0" xfId="0" applyFont="1" applyBorder="1" applyAlignment="1">
      <alignment horizontal="center" vertical="center"/>
    </xf>
    <xf numFmtId="0" fontId="26" fillId="0" borderId="0" xfId="0" applyFont="1" applyBorder="1" applyAlignment="1">
      <alignment horizontal="left" vertical="center"/>
    </xf>
    <xf numFmtId="0" fontId="26" fillId="0" borderId="0" xfId="0" applyFont="1" applyBorder="1" applyAlignment="1">
      <alignment horizontal="center" vertical="center" wrapText="1"/>
    </xf>
    <xf numFmtId="0" fontId="26" fillId="0" borderId="18" xfId="0" applyFont="1" applyBorder="1" applyAlignment="1">
      <alignment horizontal="center" vertical="center"/>
    </xf>
    <xf numFmtId="0" fontId="26" fillId="0" borderId="0" xfId="0" applyFont="1" applyBorder="1" applyAlignment="1">
      <alignment horizontal="right" vertical="center"/>
    </xf>
    <xf numFmtId="0" fontId="26" fillId="0" borderId="26" xfId="0" applyFont="1" applyBorder="1" applyAlignment="1">
      <alignment horizontal="right" vertical="center"/>
    </xf>
    <xf numFmtId="0" fontId="0" fillId="0" borderId="28" xfId="0" applyBorder="1">
      <alignment vertical="center"/>
    </xf>
    <xf numFmtId="0" fontId="26" fillId="0" borderId="18" xfId="0" applyFont="1" applyBorder="1" applyAlignment="1">
      <alignment horizontal="left" vertical="center"/>
    </xf>
    <xf numFmtId="0" fontId="26" fillId="0" borderId="0" xfId="0" applyFont="1" applyAlignment="1">
      <alignment horizontal="left" vertical="center"/>
    </xf>
    <xf numFmtId="0" fontId="26" fillId="0" borderId="15" xfId="0" applyFont="1" applyBorder="1">
      <alignment vertical="center"/>
    </xf>
    <xf numFmtId="0" fontId="26" fillId="0" borderId="15" xfId="0" applyFont="1" applyBorder="1" applyAlignment="1">
      <alignment vertical="center"/>
    </xf>
    <xf numFmtId="0" fontId="26" fillId="0" borderId="16" xfId="0" applyFont="1" applyBorder="1" applyAlignment="1">
      <alignment horizontal="left" vertical="center"/>
    </xf>
    <xf numFmtId="0" fontId="29" fillId="0" borderId="0" xfId="0" applyFont="1">
      <alignment vertical="center"/>
    </xf>
    <xf numFmtId="0" fontId="30" fillId="0" borderId="0" xfId="0" applyFont="1" applyBorder="1">
      <alignment vertical="center"/>
    </xf>
    <xf numFmtId="0" fontId="30" fillId="0" borderId="16" xfId="0" applyFont="1" applyBorder="1">
      <alignment vertical="center"/>
    </xf>
    <xf numFmtId="0" fontId="30" fillId="0" borderId="27" xfId="0" applyFont="1" applyBorder="1">
      <alignment vertical="center"/>
    </xf>
    <xf numFmtId="0" fontId="30" fillId="0" borderId="25" xfId="0" applyFont="1" applyBorder="1">
      <alignment vertical="center"/>
    </xf>
    <xf numFmtId="0" fontId="30" fillId="0" borderId="28" xfId="0" applyFont="1" applyBorder="1">
      <alignment vertical="center"/>
    </xf>
    <xf numFmtId="0" fontId="30" fillId="0" borderId="26" xfId="0" applyFont="1" applyBorder="1">
      <alignment vertical="center"/>
    </xf>
    <xf numFmtId="0" fontId="29" fillId="0" borderId="28" xfId="0" applyFont="1" applyBorder="1">
      <alignment vertical="center"/>
    </xf>
    <xf numFmtId="0" fontId="29" fillId="0" borderId="0" xfId="0" applyFont="1" applyBorder="1">
      <alignment vertical="center"/>
    </xf>
    <xf numFmtId="0" fontId="31" fillId="0" borderId="0" xfId="0" applyFont="1" applyBorder="1" applyAlignment="1">
      <alignment vertical="center"/>
    </xf>
    <xf numFmtId="0" fontId="31" fillId="0" borderId="26" xfId="0" applyFont="1" applyBorder="1" applyAlignment="1">
      <alignment vertical="center"/>
    </xf>
    <xf numFmtId="0" fontId="33" fillId="0" borderId="0" xfId="0" applyFont="1" applyBorder="1" applyAlignment="1">
      <alignment horizontal="center" vertical="center"/>
    </xf>
    <xf numFmtId="0" fontId="30" fillId="0" borderId="0" xfId="0" applyFont="1" applyBorder="1" applyAlignment="1">
      <alignment vertical="center"/>
    </xf>
    <xf numFmtId="0" fontId="30" fillId="0" borderId="0" xfId="0" applyFont="1" applyBorder="1" applyAlignment="1">
      <alignment horizontal="center" vertical="center"/>
    </xf>
    <xf numFmtId="0" fontId="30" fillId="0" borderId="18" xfId="0" applyFont="1" applyBorder="1" applyAlignment="1">
      <alignment vertical="top" wrapText="1"/>
    </xf>
    <xf numFmtId="0" fontId="30" fillId="0" borderId="18" xfId="0" applyFont="1" applyBorder="1" applyAlignment="1">
      <alignment vertical="top"/>
    </xf>
    <xf numFmtId="0" fontId="30" fillId="0" borderId="26" xfId="0" applyFont="1" applyBorder="1" applyAlignment="1">
      <alignment horizontal="right" vertical="top"/>
    </xf>
    <xf numFmtId="0" fontId="30" fillId="0" borderId="0" xfId="0" applyFont="1" applyBorder="1" applyAlignment="1">
      <alignment horizontal="right" vertical="top"/>
    </xf>
    <xf numFmtId="0" fontId="30" fillId="0" borderId="26" xfId="0" applyFont="1" applyBorder="1" applyAlignment="1">
      <alignment horizontal="center" vertical="center"/>
    </xf>
    <xf numFmtId="0" fontId="30" fillId="0" borderId="26" xfId="0" applyFont="1" applyBorder="1" applyAlignment="1">
      <alignment horizontal="left" vertical="center"/>
    </xf>
    <xf numFmtId="0" fontId="30" fillId="0" borderId="0" xfId="0" applyFont="1" applyBorder="1" applyAlignment="1">
      <alignment horizontal="left" vertical="center"/>
    </xf>
    <xf numFmtId="0" fontId="34" fillId="0" borderId="0" xfId="0" applyFont="1" applyBorder="1">
      <alignment vertical="center"/>
    </xf>
    <xf numFmtId="0" fontId="34" fillId="0" borderId="0" xfId="0" applyFont="1" applyBorder="1" applyAlignment="1">
      <alignment vertical="center"/>
    </xf>
    <xf numFmtId="0" fontId="30" fillId="0" borderId="0" xfId="0" applyFont="1" applyBorder="1" applyAlignment="1">
      <alignment vertical="center" wrapText="1"/>
    </xf>
    <xf numFmtId="0" fontId="30" fillId="0" borderId="0" xfId="0" applyFont="1" applyBorder="1" applyAlignment="1">
      <alignment vertical="center" textRotation="255"/>
    </xf>
    <xf numFmtId="0" fontId="30" fillId="0" borderId="0" xfId="0" applyFont="1" applyBorder="1" applyAlignment="1">
      <alignment horizontal="center" vertical="center" wrapText="1"/>
    </xf>
    <xf numFmtId="49" fontId="30" fillId="0" borderId="0" xfId="0" applyNumberFormat="1" applyFont="1" applyBorder="1" applyAlignment="1">
      <alignment horizontal="distributed" vertical="center" wrapText="1"/>
    </xf>
    <xf numFmtId="49" fontId="34" fillId="0" borderId="0" xfId="0" applyNumberFormat="1" applyFont="1" applyBorder="1" applyAlignment="1">
      <alignment horizontal="left" vertical="top"/>
    </xf>
    <xf numFmtId="49" fontId="30" fillId="0" borderId="27" xfId="0" applyNumberFormat="1" applyFont="1" applyBorder="1" applyAlignment="1">
      <alignment horizontal="center" vertical="center" wrapText="1"/>
    </xf>
    <xf numFmtId="0" fontId="30" fillId="0" borderId="27" xfId="0" applyFont="1" applyBorder="1" applyAlignment="1">
      <alignment horizontal="left" vertical="center"/>
    </xf>
    <xf numFmtId="0" fontId="34" fillId="0" borderId="18" xfId="0" applyFont="1" applyBorder="1" applyAlignment="1">
      <alignment vertical="center"/>
    </xf>
    <xf numFmtId="0" fontId="30" fillId="0" borderId="18" xfId="0" applyFont="1" applyBorder="1" applyAlignment="1">
      <alignment vertical="center"/>
    </xf>
    <xf numFmtId="0" fontId="30" fillId="0" borderId="18" xfId="0" applyFont="1" applyBorder="1" applyAlignment="1">
      <alignment vertical="center" wrapText="1"/>
    </xf>
    <xf numFmtId="0" fontId="30" fillId="0" borderId="18" xfId="0" applyFont="1" applyBorder="1">
      <alignment vertical="center"/>
    </xf>
    <xf numFmtId="0" fontId="30" fillId="0" borderId="18" xfId="0" applyFont="1" applyBorder="1" applyAlignment="1">
      <alignment vertical="center" textRotation="255"/>
    </xf>
    <xf numFmtId="49" fontId="30" fillId="0" borderId="83" xfId="0" applyNumberFormat="1" applyFont="1" applyBorder="1" applyAlignment="1">
      <alignment horizontal="distributed" vertical="center" wrapText="1"/>
    </xf>
    <xf numFmtId="0" fontId="30" fillId="0" borderId="83" xfId="0" applyFont="1" applyBorder="1" applyAlignment="1">
      <alignment horizontal="left" vertical="center"/>
    </xf>
    <xf numFmtId="49" fontId="34" fillId="0" borderId="0" xfId="0" applyNumberFormat="1" applyFont="1" applyBorder="1" applyAlignment="1">
      <alignment horizontal="distributed" vertical="center" wrapText="1"/>
    </xf>
    <xf numFmtId="0" fontId="29" fillId="0" borderId="26" xfId="0" applyFont="1" applyBorder="1" applyAlignment="1">
      <alignment horizontal="left" vertical="center"/>
    </xf>
    <xf numFmtId="0" fontId="29" fillId="0" borderId="0" xfId="0" applyFont="1" applyBorder="1" applyAlignment="1">
      <alignment horizontal="left" vertical="center"/>
    </xf>
    <xf numFmtId="0" fontId="29" fillId="0" borderId="26" xfId="0" applyFont="1" applyBorder="1">
      <alignment vertical="center"/>
    </xf>
    <xf numFmtId="0" fontId="29" fillId="0" borderId="17" xfId="0" applyFont="1" applyBorder="1">
      <alignment vertical="center"/>
    </xf>
    <xf numFmtId="0" fontId="29" fillId="0" borderId="18" xfId="0" applyFont="1" applyBorder="1">
      <alignment vertical="center"/>
    </xf>
    <xf numFmtId="0" fontId="29" fillId="0" borderId="19" xfId="0" applyFont="1" applyBorder="1">
      <alignment vertical="center"/>
    </xf>
    <xf numFmtId="0" fontId="29" fillId="0" borderId="27" xfId="0" applyFont="1" applyBorder="1">
      <alignment vertical="center"/>
    </xf>
    <xf numFmtId="0" fontId="30" fillId="0" borderId="27" xfId="0" applyFont="1" applyFill="1" applyBorder="1">
      <alignment vertical="center"/>
    </xf>
    <xf numFmtId="0" fontId="31" fillId="0" borderId="0" xfId="0" applyFont="1" applyBorder="1" applyAlignment="1">
      <alignment vertical="center" wrapText="1"/>
    </xf>
    <xf numFmtId="0" fontId="31" fillId="0" borderId="28" xfId="0" applyFont="1" applyBorder="1" applyAlignment="1">
      <alignment vertical="center" wrapText="1"/>
    </xf>
    <xf numFmtId="0" fontId="31" fillId="0" borderId="26" xfId="0" applyFont="1" applyBorder="1" applyAlignment="1">
      <alignment vertical="center" wrapText="1"/>
    </xf>
    <xf numFmtId="0" fontId="34" fillId="0" borderId="28" xfId="0" applyFont="1" applyBorder="1" applyAlignment="1">
      <alignment horizontal="left" vertical="center"/>
    </xf>
    <xf numFmtId="0" fontId="34" fillId="0" borderId="0" xfId="0" applyFont="1" applyBorder="1" applyAlignment="1">
      <alignment horizontal="left" vertical="center"/>
    </xf>
    <xf numFmtId="0" fontId="35" fillId="0" borderId="0" xfId="0" applyFont="1" applyBorder="1">
      <alignment vertical="center"/>
    </xf>
    <xf numFmtId="0" fontId="34" fillId="0" borderId="17" xfId="0" applyFont="1" applyBorder="1" applyAlignment="1">
      <alignment horizontal="left" vertical="center"/>
    </xf>
    <xf numFmtId="0" fontId="34" fillId="0" borderId="18" xfId="0" applyFont="1" applyBorder="1" applyAlignment="1">
      <alignment horizontal="left" vertical="center"/>
    </xf>
    <xf numFmtId="0" fontId="30" fillId="0" borderId="18" xfId="0" applyFont="1" applyBorder="1" applyAlignment="1">
      <alignment horizontal="left" vertical="center"/>
    </xf>
    <xf numFmtId="0" fontId="30" fillId="0" borderId="19" xfId="0" applyFont="1" applyBorder="1" applyAlignment="1">
      <alignment horizontal="left" vertical="center"/>
    </xf>
    <xf numFmtId="0" fontId="36" fillId="0" borderId="0" xfId="0" applyFont="1" applyBorder="1">
      <alignment vertical="center"/>
    </xf>
    <xf numFmtId="49" fontId="34" fillId="0" borderId="0" xfId="0" applyNumberFormat="1" applyFont="1" applyBorder="1" applyAlignment="1">
      <alignment horizontal="left" vertical="top" wrapText="1"/>
    </xf>
    <xf numFmtId="49" fontId="30" fillId="0" borderId="0" xfId="0" applyNumberFormat="1" applyFont="1" applyBorder="1" applyAlignment="1">
      <alignment horizontal="center" vertical="center" wrapText="1"/>
    </xf>
    <xf numFmtId="0" fontId="30" fillId="0" borderId="0" xfId="0" applyFont="1" applyBorder="1" applyAlignment="1">
      <alignment horizontal="left" vertical="top"/>
    </xf>
    <xf numFmtId="0" fontId="29" fillId="0" borderId="16" xfId="0" applyFont="1" applyBorder="1">
      <alignment vertical="center"/>
    </xf>
    <xf numFmtId="0" fontId="29" fillId="0" borderId="25" xfId="0" applyFont="1" applyBorder="1">
      <alignment vertical="center"/>
    </xf>
    <xf numFmtId="0" fontId="30" fillId="0" borderId="27" xfId="0" applyFont="1" applyBorder="1" applyAlignment="1">
      <alignment vertical="center" textRotation="255"/>
    </xf>
    <xf numFmtId="0" fontId="30" fillId="0" borderId="27" xfId="0" applyFont="1" applyBorder="1" applyAlignment="1">
      <alignment horizontal="center" vertical="center" wrapText="1"/>
    </xf>
    <xf numFmtId="0" fontId="30" fillId="0" borderId="27" xfId="0" applyFont="1" applyBorder="1" applyAlignment="1">
      <alignment vertical="center" wrapText="1"/>
    </xf>
    <xf numFmtId="49" fontId="30" fillId="0" borderId="0" xfId="0" applyNumberFormat="1" applyFont="1" applyBorder="1" applyAlignment="1">
      <alignment vertical="center" wrapText="1"/>
    </xf>
    <xf numFmtId="49" fontId="34" fillId="0" borderId="0" xfId="0" applyNumberFormat="1" applyFont="1" applyBorder="1" applyAlignment="1">
      <alignment vertical="center"/>
    </xf>
    <xf numFmtId="49" fontId="30" fillId="0" borderId="0" xfId="0" applyNumberFormat="1" applyFont="1" applyBorder="1" applyAlignment="1">
      <alignment vertical="top"/>
    </xf>
    <xf numFmtId="0" fontId="38" fillId="0" borderId="0" xfId="0" applyFont="1" applyBorder="1" applyAlignment="1">
      <alignment vertical="center" wrapText="1"/>
    </xf>
    <xf numFmtId="0" fontId="29" fillId="0" borderId="0" xfId="0" applyFont="1" applyBorder="1" applyAlignment="1">
      <alignment vertical="center"/>
    </xf>
    <xf numFmtId="0" fontId="38" fillId="0" borderId="27" xfId="0" applyFont="1" applyBorder="1" applyAlignment="1">
      <alignment vertical="center"/>
    </xf>
    <xf numFmtId="0" fontId="39" fillId="0" borderId="27" xfId="0" applyFont="1" applyBorder="1" applyAlignment="1">
      <alignment vertical="center"/>
    </xf>
    <xf numFmtId="0" fontId="36" fillId="0" borderId="27" xfId="0" applyFont="1" applyBorder="1">
      <alignment vertical="center"/>
    </xf>
    <xf numFmtId="0" fontId="36" fillId="0" borderId="18" xfId="0" applyFont="1" applyBorder="1">
      <alignment vertical="center"/>
    </xf>
    <xf numFmtId="0" fontId="30" fillId="0" borderId="19" xfId="0" applyFont="1" applyBorder="1" applyAlignment="1">
      <alignment vertical="center"/>
    </xf>
    <xf numFmtId="0" fontId="30" fillId="0" borderId="27" xfId="0" applyFont="1" applyBorder="1" applyAlignment="1">
      <alignment horizontal="center" vertical="center"/>
    </xf>
    <xf numFmtId="49" fontId="34" fillId="0" borderId="0" xfId="0" applyNumberFormat="1" applyFont="1" applyBorder="1" applyAlignment="1">
      <alignment vertical="top"/>
    </xf>
    <xf numFmtId="0" fontId="34" fillId="0" borderId="26" xfId="0" applyFont="1" applyBorder="1" applyAlignment="1">
      <alignment horizontal="center" vertical="center"/>
    </xf>
    <xf numFmtId="0" fontId="30" fillId="0" borderId="0" xfId="0" applyFont="1" applyBorder="1" applyAlignment="1">
      <alignment horizontal="left" vertical="center" wrapText="1"/>
    </xf>
    <xf numFmtId="0" fontId="30" fillId="0" borderId="0" xfId="0" applyFont="1">
      <alignment vertical="center"/>
    </xf>
    <xf numFmtId="49" fontId="36" fillId="0" borderId="0" xfId="0" applyNumberFormat="1" applyFont="1" applyBorder="1">
      <alignment vertical="center"/>
    </xf>
    <xf numFmtId="0" fontId="38" fillId="0" borderId="0" xfId="0" applyFont="1" applyBorder="1" applyAlignment="1">
      <alignment horizontal="left" vertical="center"/>
    </xf>
    <xf numFmtId="0" fontId="38" fillId="0" borderId="0" xfId="0" applyFont="1" applyBorder="1" applyAlignment="1">
      <alignment horizontal="center" vertical="center"/>
    </xf>
    <xf numFmtId="0" fontId="39" fillId="0" borderId="0" xfId="0" applyFont="1" applyBorder="1" applyAlignment="1">
      <alignment horizontal="center" vertical="center"/>
    </xf>
    <xf numFmtId="0" fontId="36" fillId="0" borderId="0" xfId="0" applyFont="1" applyBorder="1" applyAlignment="1">
      <alignment vertical="center"/>
    </xf>
    <xf numFmtId="0" fontId="39" fillId="0" borderId="0" xfId="0" applyFont="1" applyBorder="1" applyAlignment="1">
      <alignment vertical="center"/>
    </xf>
    <xf numFmtId="0" fontId="21" fillId="0" borderId="51" xfId="0" applyFont="1" applyBorder="1" applyAlignment="1">
      <alignment vertical="center"/>
    </xf>
    <xf numFmtId="0" fontId="21" fillId="0" borderId="52" xfId="0" applyFont="1" applyBorder="1" applyAlignment="1">
      <alignment vertical="center"/>
    </xf>
    <xf numFmtId="0" fontId="25" fillId="0" borderId="81" xfId="0" applyFont="1" applyBorder="1" applyAlignment="1">
      <alignment vertical="center"/>
    </xf>
    <xf numFmtId="0" fontId="25" fillId="0" borderId="82"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30" fillId="0" borderId="27" xfId="0" applyFont="1" applyBorder="1" applyAlignment="1">
      <alignment horizontal="center" vertical="center"/>
    </xf>
    <xf numFmtId="0" fontId="30" fillId="0" borderId="26" xfId="0" applyFont="1" applyBorder="1" applyAlignment="1">
      <alignment horizontal="center" vertical="center"/>
    </xf>
    <xf numFmtId="0" fontId="30" fillId="0" borderId="0" xfId="0" applyFont="1" applyBorder="1" applyAlignment="1">
      <alignment horizontal="left" vertical="center" wrapText="1"/>
    </xf>
    <xf numFmtId="0" fontId="29" fillId="0" borderId="0" xfId="0" applyFont="1" applyBorder="1" applyAlignment="1">
      <alignment horizontal="left" vertical="center"/>
    </xf>
    <xf numFmtId="0" fontId="30" fillId="0" borderId="26" xfId="0" applyFont="1" applyBorder="1" applyAlignment="1">
      <alignment horizontal="left" vertical="center"/>
    </xf>
    <xf numFmtId="0" fontId="30" fillId="0" borderId="27" xfId="0" applyFont="1" applyBorder="1" applyAlignment="1">
      <alignment horizontal="center" vertical="center" wrapText="1"/>
    </xf>
    <xf numFmtId="0" fontId="30" fillId="0" borderId="0" xfId="0" applyFont="1" applyBorder="1" applyAlignment="1">
      <alignment horizontal="center" vertical="center" wrapText="1"/>
    </xf>
    <xf numFmtId="0" fontId="38" fillId="0" borderId="0" xfId="0" applyFont="1" applyBorder="1" applyAlignment="1">
      <alignment horizontal="center" vertical="center"/>
    </xf>
    <xf numFmtId="0" fontId="39" fillId="0" borderId="0" xfId="0" applyFont="1" applyBorder="1" applyAlignment="1">
      <alignment horizontal="center" vertical="center"/>
    </xf>
    <xf numFmtId="0" fontId="39" fillId="0" borderId="0" xfId="0" applyFont="1" applyBorder="1" applyAlignment="1">
      <alignment vertical="center"/>
    </xf>
    <xf numFmtId="0" fontId="36" fillId="0" borderId="0" xfId="0" applyFont="1" applyBorder="1" applyAlignment="1">
      <alignment vertical="center"/>
    </xf>
    <xf numFmtId="0" fontId="30" fillId="0" borderId="0" xfId="0" applyFont="1" applyBorder="1" applyAlignment="1">
      <alignment vertical="center"/>
    </xf>
    <xf numFmtId="0" fontId="30" fillId="0" borderId="18" xfId="0" applyFont="1" applyBorder="1" applyAlignment="1">
      <alignment vertical="center"/>
    </xf>
    <xf numFmtId="0" fontId="30" fillId="0" borderId="19" xfId="0" applyFont="1" applyBorder="1" applyAlignment="1">
      <alignment vertical="center"/>
    </xf>
    <xf numFmtId="178" fontId="21" fillId="0" borderId="30" xfId="0" applyNumberFormat="1" applyFont="1" applyBorder="1" applyAlignment="1">
      <alignment horizontal="right" vertical="center"/>
    </xf>
    <xf numFmtId="178" fontId="21" fillId="0" borderId="15" xfId="0" applyNumberFormat="1" applyFont="1" applyBorder="1" applyAlignment="1">
      <alignment horizontal="right" vertical="center"/>
    </xf>
    <xf numFmtId="179" fontId="21" fillId="0" borderId="15" xfId="0" applyNumberFormat="1" applyFont="1" applyBorder="1" applyAlignment="1">
      <alignment horizontal="right" vertical="center" shrinkToFit="1"/>
    </xf>
    <xf numFmtId="178" fontId="21" fillId="0" borderId="54" xfId="0" applyNumberFormat="1" applyFont="1" applyBorder="1" applyAlignment="1">
      <alignment horizontal="right" vertical="center"/>
    </xf>
    <xf numFmtId="178" fontId="21" fillId="0" borderId="36" xfId="0" applyNumberFormat="1" applyFont="1" applyBorder="1" applyAlignment="1">
      <alignment horizontal="right" vertical="center"/>
    </xf>
    <xf numFmtId="0" fontId="21" fillId="0" borderId="48" xfId="0" applyFont="1" applyBorder="1">
      <alignment vertical="center"/>
    </xf>
    <xf numFmtId="178" fontId="21" fillId="0" borderId="23" xfId="0" applyNumberFormat="1" applyFont="1" applyBorder="1" applyAlignment="1">
      <alignment horizontal="right" vertical="center"/>
    </xf>
    <xf numFmtId="178" fontId="21" fillId="0" borderId="24" xfId="0" applyNumberFormat="1" applyFont="1" applyBorder="1" applyAlignment="1">
      <alignment horizontal="right" vertical="center"/>
    </xf>
    <xf numFmtId="0" fontId="21" fillId="35" borderId="31" xfId="0" applyFont="1" applyFill="1" applyBorder="1">
      <alignment vertical="center"/>
    </xf>
    <xf numFmtId="0" fontId="21" fillId="35" borderId="20" xfId="0" applyFont="1" applyFill="1" applyBorder="1">
      <alignment vertical="center"/>
    </xf>
    <xf numFmtId="0" fontId="21" fillId="35" borderId="16" xfId="0" applyFont="1" applyFill="1" applyBorder="1">
      <alignment vertical="center"/>
    </xf>
    <xf numFmtId="0" fontId="21" fillId="35" borderId="39" xfId="0" applyFont="1" applyFill="1" applyBorder="1">
      <alignment vertical="center"/>
    </xf>
    <xf numFmtId="0" fontId="21" fillId="35" borderId="37" xfId="0" applyFont="1" applyFill="1" applyBorder="1">
      <alignment vertical="center"/>
    </xf>
    <xf numFmtId="180" fontId="21" fillId="35" borderId="20" xfId="0" applyNumberFormat="1" applyFont="1" applyFill="1" applyBorder="1" applyAlignment="1">
      <alignment horizontal="right" vertical="center"/>
    </xf>
    <xf numFmtId="181" fontId="21" fillId="35" borderId="20" xfId="0" applyNumberFormat="1" applyFont="1" applyFill="1" applyBorder="1" applyAlignment="1">
      <alignment horizontal="right" vertical="center"/>
    </xf>
    <xf numFmtId="178" fontId="21" fillId="35" borderId="24" xfId="0" applyNumberFormat="1" applyFont="1" applyFill="1" applyBorder="1" applyAlignment="1">
      <alignment horizontal="right" vertical="center"/>
    </xf>
    <xf numFmtId="178" fontId="45" fillId="35" borderId="56" xfId="0" applyNumberFormat="1" applyFont="1" applyFill="1" applyBorder="1" applyAlignment="1">
      <alignment horizontal="right" vertical="center"/>
    </xf>
    <xf numFmtId="0" fontId="44" fillId="0" borderId="0" xfId="0" applyFont="1">
      <alignment vertical="center"/>
    </xf>
    <xf numFmtId="0" fontId="30" fillId="0" borderId="0" xfId="0" applyFont="1" applyBorder="1" applyAlignment="1">
      <alignment horizontal="center" vertical="center"/>
    </xf>
    <xf numFmtId="0" fontId="30" fillId="0" borderId="26" xfId="0" applyFont="1" applyBorder="1" applyAlignment="1">
      <alignment horizontal="center" vertical="center"/>
    </xf>
    <xf numFmtId="49" fontId="30" fillId="0" borderId="0" xfId="0" applyNumberFormat="1" applyFont="1" applyBorder="1" applyAlignment="1">
      <alignment horizontal="distributed" vertical="center" wrapText="1"/>
    </xf>
    <xf numFmtId="0" fontId="29" fillId="0" borderId="0" xfId="0" applyFont="1" applyBorder="1" applyAlignment="1">
      <alignment horizontal="left" vertical="center"/>
    </xf>
    <xf numFmtId="0" fontId="30" fillId="0" borderId="28" xfId="0" applyFont="1" applyBorder="1" applyAlignment="1">
      <alignment horizontal="left" vertical="center"/>
    </xf>
    <xf numFmtId="0" fontId="30" fillId="0" borderId="0" xfId="0" applyFont="1" applyBorder="1" applyAlignment="1">
      <alignment horizontal="left" vertical="center"/>
    </xf>
    <xf numFmtId="0" fontId="30" fillId="0" borderId="26" xfId="0" applyFont="1" applyBorder="1" applyAlignment="1">
      <alignment horizontal="left" vertical="center"/>
    </xf>
    <xf numFmtId="0" fontId="30" fillId="0" borderId="17" xfId="0" applyFont="1" applyBorder="1" applyAlignment="1">
      <alignment horizontal="left" vertical="center"/>
    </xf>
    <xf numFmtId="0" fontId="30" fillId="0" borderId="18" xfId="0" applyFont="1" applyBorder="1" applyAlignment="1">
      <alignment horizontal="left" vertical="center"/>
    </xf>
    <xf numFmtId="0" fontId="30" fillId="0" borderId="19" xfId="0" applyFont="1" applyBorder="1" applyAlignment="1">
      <alignment horizontal="left" vertical="center"/>
    </xf>
    <xf numFmtId="0" fontId="37" fillId="0" borderId="0" xfId="0" applyFont="1" applyBorder="1" applyAlignment="1">
      <alignment horizontal="left" vertical="center"/>
    </xf>
    <xf numFmtId="0" fontId="30" fillId="0" borderId="0" xfId="0" applyFont="1" applyBorder="1" applyAlignment="1">
      <alignment horizontal="center" vertical="center" wrapText="1"/>
    </xf>
    <xf numFmtId="0" fontId="38" fillId="0" borderId="0" xfId="0" applyFont="1" applyBorder="1" applyAlignment="1">
      <alignment horizontal="center" vertical="center"/>
    </xf>
    <xf numFmtId="0" fontId="39" fillId="0" borderId="0" xfId="0" applyFont="1" applyBorder="1" applyAlignment="1">
      <alignment vertical="center"/>
    </xf>
    <xf numFmtId="0" fontId="38" fillId="0" borderId="0" xfId="0" applyFont="1" applyBorder="1" applyAlignment="1">
      <alignment horizontal="center" vertical="center" wrapText="1"/>
    </xf>
    <xf numFmtId="0" fontId="30" fillId="0" borderId="18" xfId="0" applyFont="1" applyBorder="1" applyAlignment="1">
      <alignment vertical="center"/>
    </xf>
    <xf numFmtId="0" fontId="30" fillId="0" borderId="0" xfId="0" applyFont="1" applyBorder="1" applyAlignment="1">
      <alignment vertical="center"/>
    </xf>
    <xf numFmtId="0" fontId="21" fillId="0" borderId="51" xfId="0" applyFont="1" applyBorder="1" applyAlignment="1">
      <alignment vertical="center" shrinkToFit="1"/>
    </xf>
    <xf numFmtId="0" fontId="37" fillId="0" borderId="0" xfId="0" applyFont="1" applyBorder="1">
      <alignment vertical="center"/>
    </xf>
    <xf numFmtId="0" fontId="30" fillId="0" borderId="86" xfId="0" applyFont="1" applyBorder="1" applyAlignment="1">
      <alignment horizontal="left" vertical="center" wrapText="1"/>
    </xf>
    <xf numFmtId="0" fontId="29" fillId="0" borderId="86" xfId="0" applyFont="1" applyBorder="1" applyAlignment="1">
      <alignment horizontal="left" vertical="center"/>
    </xf>
    <xf numFmtId="49" fontId="34" fillId="0" borderId="0" xfId="0" applyNumberFormat="1" applyFont="1" applyBorder="1" applyAlignment="1">
      <alignment horizontal="center" vertical="center" wrapText="1"/>
    </xf>
    <xf numFmtId="0" fontId="34" fillId="0" borderId="0" xfId="0" applyFont="1" applyBorder="1" applyAlignment="1">
      <alignment horizontal="center" vertical="center"/>
    </xf>
    <xf numFmtId="0" fontId="36" fillId="0" borderId="0" xfId="0" applyFont="1">
      <alignment vertical="center"/>
    </xf>
    <xf numFmtId="0" fontId="36" fillId="0" borderId="16" xfId="0" applyFont="1" applyBorder="1">
      <alignment vertical="center"/>
    </xf>
    <xf numFmtId="0" fontId="36" fillId="0" borderId="25" xfId="0" applyFont="1" applyBorder="1">
      <alignment vertical="center"/>
    </xf>
    <xf numFmtId="0" fontId="36" fillId="0" borderId="28" xfId="0" applyFont="1" applyBorder="1">
      <alignment vertical="center"/>
    </xf>
    <xf numFmtId="0" fontId="38" fillId="0" borderId="0" xfId="0" applyFont="1" applyBorder="1">
      <alignment vertical="center"/>
    </xf>
    <xf numFmtId="0" fontId="36" fillId="0" borderId="26" xfId="0" applyFont="1" applyBorder="1">
      <alignment vertical="center"/>
    </xf>
    <xf numFmtId="0" fontId="38" fillId="0" borderId="0" xfId="0" applyFont="1">
      <alignment vertical="center"/>
    </xf>
    <xf numFmtId="0" fontId="47" fillId="0" borderId="0" xfId="0" applyFont="1" applyBorder="1" applyAlignment="1">
      <alignment horizontal="center" vertical="center"/>
    </xf>
    <xf numFmtId="0" fontId="38" fillId="0" borderId="0" xfId="0" applyFont="1" applyAlignment="1">
      <alignment horizontal="center" vertical="center"/>
    </xf>
    <xf numFmtId="49" fontId="38" fillId="0" borderId="0" xfId="0" applyNumberFormat="1" applyFont="1" applyBorder="1">
      <alignment vertical="center"/>
    </xf>
    <xf numFmtId="0" fontId="38" fillId="0" borderId="20" xfId="0" applyFont="1" applyBorder="1">
      <alignment vertical="center"/>
    </xf>
    <xf numFmtId="0" fontId="38" fillId="0" borderId="21" xfId="0" applyFont="1" applyBorder="1">
      <alignment vertical="center"/>
    </xf>
    <xf numFmtId="0" fontId="38" fillId="0" borderId="22" xfId="0" applyFont="1" applyBorder="1">
      <alignment vertical="center"/>
    </xf>
    <xf numFmtId="0" fontId="38" fillId="0" borderId="28" xfId="0" applyFont="1" applyBorder="1">
      <alignment vertical="center"/>
    </xf>
    <xf numFmtId="0" fontId="38" fillId="0" borderId="26" xfId="0" applyFont="1" applyBorder="1">
      <alignment vertical="center"/>
    </xf>
    <xf numFmtId="0" fontId="38" fillId="0" borderId="17" xfId="0" applyFont="1" applyBorder="1">
      <alignment vertical="center"/>
    </xf>
    <xf numFmtId="0" fontId="38" fillId="0" borderId="18" xfId="0" applyFont="1" applyBorder="1">
      <alignment vertical="center"/>
    </xf>
    <xf numFmtId="0" fontId="38" fillId="0" borderId="19" xfId="0" applyFont="1" applyBorder="1">
      <alignment vertical="center"/>
    </xf>
    <xf numFmtId="49" fontId="36" fillId="0" borderId="16" xfId="0" applyNumberFormat="1" applyFont="1" applyBorder="1">
      <alignment vertical="center"/>
    </xf>
    <xf numFmtId="0" fontId="38" fillId="0" borderId="16" xfId="0" applyFont="1" applyBorder="1">
      <alignment vertical="center"/>
    </xf>
    <xf numFmtId="0" fontId="38" fillId="0" borderId="27" xfId="0" applyFont="1" applyBorder="1">
      <alignment vertical="center"/>
    </xf>
    <xf numFmtId="0" fontId="38" fillId="0" borderId="25" xfId="0" applyFont="1" applyBorder="1">
      <alignment vertical="center"/>
    </xf>
    <xf numFmtId="49" fontId="36" fillId="0" borderId="17" xfId="0" applyNumberFormat="1" applyFont="1" applyBorder="1">
      <alignment vertical="center"/>
    </xf>
    <xf numFmtId="0" fontId="41" fillId="0" borderId="0" xfId="0" applyFont="1" applyAlignment="1">
      <alignment horizontal="center" vertical="center"/>
    </xf>
    <xf numFmtId="0" fontId="39" fillId="0" borderId="0" xfId="0" applyFont="1" applyAlignment="1">
      <alignment horizontal="center" vertical="center"/>
    </xf>
    <xf numFmtId="0" fontId="49" fillId="0" borderId="0" xfId="0" applyFont="1">
      <alignment vertical="center"/>
    </xf>
    <xf numFmtId="0" fontId="36" fillId="0" borderId="0" xfId="0" applyFont="1" applyBorder="1" applyAlignment="1">
      <alignment vertical="top"/>
    </xf>
    <xf numFmtId="0" fontId="38" fillId="0" borderId="21" xfId="0" applyFont="1" applyBorder="1" applyAlignment="1">
      <alignment horizontal="left" vertical="center" wrapText="1"/>
    </xf>
    <xf numFmtId="0" fontId="38" fillId="0" borderId="0" xfId="0" applyFont="1" applyBorder="1" applyAlignment="1">
      <alignment horizontal="left" vertical="center" wrapText="1"/>
    </xf>
    <xf numFmtId="0" fontId="50" fillId="0" borderId="0" xfId="0" applyFont="1" applyBorder="1" applyAlignment="1">
      <alignment horizontal="left" vertical="center" wrapText="1"/>
    </xf>
    <xf numFmtId="0" fontId="38" fillId="0" borderId="0" xfId="0" applyFont="1" applyAlignment="1">
      <alignment horizontal="center" vertical="center" wrapText="1"/>
    </xf>
    <xf numFmtId="0" fontId="38" fillId="0" borderId="0" xfId="0" applyFont="1" applyAlignment="1">
      <alignment horizontal="left" vertical="center" wrapText="1"/>
    </xf>
    <xf numFmtId="0" fontId="39" fillId="0" borderId="0" xfId="0" applyFont="1" applyBorder="1" applyAlignment="1">
      <alignment horizontal="left" vertical="center"/>
    </xf>
    <xf numFmtId="0" fontId="38" fillId="0" borderId="0" xfId="0" applyFont="1" applyBorder="1" applyAlignment="1"/>
    <xf numFmtId="0" fontId="36" fillId="0" borderId="19" xfId="0" applyFont="1" applyBorder="1">
      <alignment vertical="center"/>
    </xf>
    <xf numFmtId="0" fontId="39" fillId="0" borderId="0" xfId="0" applyFont="1" applyBorder="1" applyAlignment="1">
      <alignment horizontal="center" vertical="center" wrapText="1"/>
    </xf>
    <xf numFmtId="0" fontId="38" fillId="0" borderId="0" xfId="0" applyFont="1" applyFill="1">
      <alignment vertical="center"/>
    </xf>
    <xf numFmtId="0" fontId="36" fillId="0" borderId="87" xfId="0" applyFont="1" applyBorder="1">
      <alignment vertical="center"/>
    </xf>
    <xf numFmtId="0" fontId="36" fillId="0" borderId="86" xfId="0" applyFont="1" applyBorder="1">
      <alignment vertical="center"/>
    </xf>
    <xf numFmtId="49" fontId="36" fillId="0" borderId="86" xfId="0" applyNumberFormat="1" applyFont="1" applyBorder="1">
      <alignment vertical="center"/>
    </xf>
    <xf numFmtId="0" fontId="36" fillId="0" borderId="88" xfId="0" applyFont="1" applyBorder="1">
      <alignment vertical="center"/>
    </xf>
    <xf numFmtId="0" fontId="38" fillId="0" borderId="27" xfId="0" applyFont="1" applyBorder="1" applyAlignment="1">
      <alignment horizontal="left" vertical="center"/>
    </xf>
    <xf numFmtId="0" fontId="38" fillId="0" borderId="27" xfId="0" applyFont="1" applyBorder="1" applyAlignment="1">
      <alignment horizontal="center" vertical="center"/>
    </xf>
    <xf numFmtId="0" fontId="38" fillId="0" borderId="25" xfId="0" applyFont="1" applyBorder="1" applyAlignment="1">
      <alignment horizontal="center" vertical="center"/>
    </xf>
    <xf numFmtId="0" fontId="38" fillId="0" borderId="16" xfId="0" applyFont="1" applyBorder="1" applyAlignment="1">
      <alignment horizontal="left" vertical="center"/>
    </xf>
    <xf numFmtId="0" fontId="39" fillId="0" borderId="27" xfId="0" applyFont="1" applyBorder="1" applyAlignment="1">
      <alignment horizontal="center" vertical="center"/>
    </xf>
    <xf numFmtId="0" fontId="36" fillId="0" borderId="27" xfId="0" applyFont="1" applyBorder="1" applyAlignment="1">
      <alignment vertical="center"/>
    </xf>
    <xf numFmtId="0" fontId="39" fillId="0" borderId="25" xfId="0" applyFont="1" applyBorder="1" applyAlignment="1">
      <alignment vertical="center"/>
    </xf>
    <xf numFmtId="0" fontId="38" fillId="0" borderId="18" xfId="0" applyFont="1" applyBorder="1" applyAlignment="1">
      <alignment horizontal="left"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38" fillId="0" borderId="17" xfId="0" applyFont="1" applyBorder="1" applyAlignment="1">
      <alignment horizontal="left" vertical="center"/>
    </xf>
    <xf numFmtId="0" fontId="39" fillId="0" borderId="18" xfId="0" applyFont="1" applyBorder="1" applyAlignment="1">
      <alignment horizontal="center" vertical="center"/>
    </xf>
    <xf numFmtId="0" fontId="36" fillId="0" borderId="18" xfId="0" applyFont="1" applyBorder="1" applyAlignment="1">
      <alignment vertical="center"/>
    </xf>
    <xf numFmtId="0" fontId="39" fillId="0" borderId="18" xfId="0" applyFont="1" applyBorder="1" applyAlignment="1">
      <alignment vertical="center"/>
    </xf>
    <xf numFmtId="0" fontId="39" fillId="0" borderId="19" xfId="0" applyFont="1" applyBorder="1" applyAlignment="1">
      <alignment vertical="center"/>
    </xf>
    <xf numFmtId="0" fontId="36" fillId="0" borderId="17" xfId="0" applyFont="1" applyBorder="1">
      <alignment vertical="center"/>
    </xf>
    <xf numFmtId="14" fontId="0" fillId="0" borderId="0" xfId="0" applyNumberFormat="1">
      <alignment vertical="center"/>
    </xf>
    <xf numFmtId="0" fontId="21" fillId="0" borderId="27" xfId="0" applyFont="1" applyBorder="1" applyAlignment="1">
      <alignment horizontal="center" vertical="center" wrapText="1"/>
    </xf>
    <xf numFmtId="0" fontId="21" fillId="0" borderId="46"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45" xfId="0" applyFont="1" applyBorder="1" applyAlignment="1">
      <alignment horizontal="center" vertical="center" wrapText="1"/>
    </xf>
    <xf numFmtId="0" fontId="52" fillId="0" borderId="81" xfId="0" applyFont="1" applyBorder="1" applyAlignment="1">
      <alignment horizontal="left" vertical="center" shrinkToFit="1"/>
    </xf>
    <xf numFmtId="0" fontId="52" fillId="0" borderId="18" xfId="0" applyFont="1" applyBorder="1" applyAlignment="1">
      <alignment horizontal="left" vertical="center" shrinkToFit="1"/>
    </xf>
    <xf numFmtId="0" fontId="21" fillId="0" borderId="27" xfId="0" applyFont="1" applyBorder="1" applyAlignment="1">
      <alignment horizontal="center" vertical="center"/>
    </xf>
    <xf numFmtId="0" fontId="21" fillId="0" borderId="18" xfId="0" applyFont="1" applyBorder="1" applyAlignment="1">
      <alignment horizontal="center" vertical="center"/>
    </xf>
    <xf numFmtId="0" fontId="20" fillId="0" borderId="0" xfId="0" applyFont="1" applyAlignment="1">
      <alignment horizontal="center" vertical="center"/>
    </xf>
    <xf numFmtId="0" fontId="22" fillId="0" borderId="37" xfId="0" applyFont="1" applyBorder="1" applyAlignment="1">
      <alignment horizontal="left" vertical="center"/>
    </xf>
    <xf numFmtId="0" fontId="22" fillId="0" borderId="44" xfId="0" applyFont="1" applyBorder="1" applyAlignment="1">
      <alignment horizontal="left" vertical="center"/>
    </xf>
    <xf numFmtId="0" fontId="22" fillId="0" borderId="43" xfId="0" applyFont="1" applyBorder="1" applyAlignment="1">
      <alignment horizontal="left" vertical="center"/>
    </xf>
    <xf numFmtId="0" fontId="21" fillId="0" borderId="26" xfId="0" applyFont="1" applyFill="1" applyBorder="1" applyAlignment="1">
      <alignment horizontal="center" vertical="center"/>
    </xf>
    <xf numFmtId="0" fontId="21" fillId="0" borderId="28" xfId="0" applyFont="1" applyFill="1" applyBorder="1" applyAlignment="1">
      <alignment horizontal="center" vertical="center"/>
    </xf>
    <xf numFmtId="0" fontId="22" fillId="0" borderId="31" xfId="0" applyFont="1" applyBorder="1" applyAlignment="1">
      <alignment horizontal="center" vertical="center"/>
    </xf>
    <xf numFmtId="0" fontId="22" fillId="0" borderId="48" xfId="0" applyFont="1" applyBorder="1" applyAlignment="1">
      <alignment horizontal="center" vertical="center"/>
    </xf>
    <xf numFmtId="0" fontId="22" fillId="0" borderId="40" xfId="0" applyFont="1" applyBorder="1" applyAlignment="1">
      <alignment horizontal="center" vertical="center"/>
    </xf>
    <xf numFmtId="176" fontId="21" fillId="0" borderId="31" xfId="0" applyNumberFormat="1" applyFont="1" applyBorder="1" applyAlignment="1">
      <alignment horizontal="center" vertical="center"/>
    </xf>
    <xf numFmtId="176" fontId="21" fillId="0" borderId="48" xfId="0" applyNumberFormat="1" applyFont="1" applyBorder="1" applyAlignment="1">
      <alignment horizontal="center" vertical="center"/>
    </xf>
    <xf numFmtId="176" fontId="21" fillId="0" borderId="40" xfId="0" applyNumberFormat="1" applyFont="1" applyBorder="1" applyAlignment="1">
      <alignment horizontal="center" vertical="center"/>
    </xf>
    <xf numFmtId="176" fontId="21" fillId="0" borderId="16" xfId="0" applyNumberFormat="1" applyFont="1" applyBorder="1" applyAlignment="1">
      <alignment horizontal="center" vertical="center"/>
    </xf>
    <xf numFmtId="176" fontId="21" fillId="0" borderId="27" xfId="0" applyNumberFormat="1" applyFont="1" applyBorder="1" applyAlignment="1">
      <alignment horizontal="center" vertical="center"/>
    </xf>
    <xf numFmtId="176" fontId="21" fillId="0" borderId="46" xfId="0" applyNumberFormat="1" applyFont="1" applyBorder="1" applyAlignment="1">
      <alignment horizontal="center" vertical="center"/>
    </xf>
    <xf numFmtId="176" fontId="21" fillId="0" borderId="17" xfId="0" applyNumberFormat="1" applyFont="1" applyBorder="1" applyAlignment="1">
      <alignment horizontal="center" vertical="center"/>
    </xf>
    <xf numFmtId="176" fontId="21" fillId="0" borderId="18" xfId="0" applyNumberFormat="1" applyFont="1" applyBorder="1" applyAlignment="1">
      <alignment horizontal="center" vertical="center"/>
    </xf>
    <xf numFmtId="176" fontId="21" fillId="0" borderId="45" xfId="0" applyNumberFormat="1" applyFont="1" applyBorder="1" applyAlignment="1">
      <alignment horizontal="center" vertical="center"/>
    </xf>
    <xf numFmtId="0" fontId="21" fillId="33" borderId="30" xfId="0" applyFont="1" applyFill="1" applyBorder="1" applyAlignment="1">
      <alignment horizontal="center" vertical="center"/>
    </xf>
    <xf numFmtId="0" fontId="21" fillId="33" borderId="30" xfId="0" applyFont="1" applyFill="1" applyBorder="1" applyAlignment="1">
      <alignment horizontal="center" vertical="center" wrapText="1"/>
    </xf>
    <xf numFmtId="0" fontId="21" fillId="0" borderId="68" xfId="0" applyFont="1" applyBorder="1" applyAlignment="1">
      <alignment horizontal="left" vertical="center" wrapText="1"/>
    </xf>
    <xf numFmtId="0" fontId="21" fillId="0" borderId="68" xfId="0" applyFont="1" applyBorder="1" applyAlignment="1">
      <alignment horizontal="left" vertical="center"/>
    </xf>
    <xf numFmtId="0" fontId="21" fillId="0" borderId="69" xfId="0" applyFont="1" applyBorder="1" applyAlignment="1">
      <alignment horizontal="left" vertical="center"/>
    </xf>
    <xf numFmtId="38" fontId="21" fillId="33" borderId="16" xfId="42" applyFont="1" applyFill="1" applyBorder="1" applyAlignment="1">
      <alignment horizontal="center" vertical="center"/>
    </xf>
    <xf numFmtId="38" fontId="21" fillId="33" borderId="25" xfId="42" applyFont="1" applyFill="1" applyBorder="1" applyAlignment="1">
      <alignment horizontal="center" vertical="center"/>
    </xf>
    <xf numFmtId="38" fontId="21" fillId="33" borderId="17" xfId="42" applyFont="1" applyFill="1" applyBorder="1" applyAlignment="1">
      <alignment horizontal="center" vertical="center"/>
    </xf>
    <xf numFmtId="38" fontId="21" fillId="33" borderId="19" xfId="42" applyFont="1" applyFill="1" applyBorder="1" applyAlignment="1">
      <alignment horizontal="center" vertical="center"/>
    </xf>
    <xf numFmtId="0" fontId="21" fillId="0" borderId="53" xfId="0" applyFont="1" applyBorder="1" applyAlignment="1">
      <alignment horizontal="left" vertical="center"/>
    </xf>
    <xf numFmtId="0" fontId="21" fillId="0" borderId="17" xfId="0" applyFont="1" applyBorder="1" applyAlignment="1">
      <alignment horizontal="left" vertical="center"/>
    </xf>
    <xf numFmtId="0" fontId="21" fillId="33" borderId="16" xfId="0" applyFont="1" applyFill="1" applyBorder="1" applyAlignment="1">
      <alignment horizontal="center" vertical="center"/>
    </xf>
    <xf numFmtId="0" fontId="21" fillId="33" borderId="25" xfId="0" applyFont="1" applyFill="1" applyBorder="1" applyAlignment="1">
      <alignment horizontal="center" vertical="center"/>
    </xf>
    <xf numFmtId="0" fontId="21" fillId="33" borderId="17" xfId="0" applyFont="1" applyFill="1" applyBorder="1" applyAlignment="1">
      <alignment horizontal="center" vertical="center"/>
    </xf>
    <xf numFmtId="0" fontId="21" fillId="33" borderId="19" xfId="0" applyFont="1" applyFill="1" applyBorder="1" applyAlignment="1">
      <alignment horizontal="center" vertical="center"/>
    </xf>
    <xf numFmtId="0" fontId="44" fillId="0" borderId="58" xfId="0" applyFont="1" applyBorder="1" applyAlignment="1">
      <alignment horizontal="center" vertical="center"/>
    </xf>
    <xf numFmtId="0" fontId="44" fillId="0" borderId="61" xfId="0" applyFont="1" applyBorder="1" applyAlignment="1">
      <alignment horizontal="center" vertical="center"/>
    </xf>
    <xf numFmtId="0" fontId="22" fillId="0" borderId="27" xfId="0" applyFont="1" applyBorder="1" applyAlignment="1">
      <alignment horizontal="left" vertical="top" wrapText="1"/>
    </xf>
    <xf numFmtId="0" fontId="22" fillId="0" borderId="46" xfId="0" applyFont="1" applyBorder="1" applyAlignment="1">
      <alignment horizontal="left" vertical="top" wrapText="1"/>
    </xf>
    <xf numFmtId="0" fontId="22" fillId="0" borderId="0" xfId="0" applyFont="1" applyBorder="1" applyAlignment="1">
      <alignment horizontal="left" vertical="top" wrapText="1"/>
    </xf>
    <xf numFmtId="0" fontId="22" fillId="0" borderId="10" xfId="0" applyFont="1" applyBorder="1" applyAlignment="1">
      <alignment horizontal="left" vertical="top" wrapText="1"/>
    </xf>
    <xf numFmtId="0" fontId="22" fillId="0" borderId="12" xfId="0" applyFont="1" applyBorder="1" applyAlignment="1">
      <alignment horizontal="left" vertical="top" wrapText="1"/>
    </xf>
    <xf numFmtId="0" fontId="22" fillId="0" borderId="11" xfId="0" applyFont="1" applyBorder="1" applyAlignment="1">
      <alignment horizontal="left" vertical="top" wrapText="1"/>
    </xf>
    <xf numFmtId="0" fontId="19" fillId="0" borderId="13" xfId="0" applyFont="1" applyBorder="1" applyAlignment="1">
      <alignment horizontal="left" vertical="top" wrapText="1"/>
    </xf>
    <xf numFmtId="0" fontId="19" fillId="0" borderId="13" xfId="0" applyFont="1" applyBorder="1" applyAlignment="1">
      <alignment horizontal="left" vertical="top"/>
    </xf>
    <xf numFmtId="0" fontId="21" fillId="33" borderId="29" xfId="0" applyFont="1" applyFill="1" applyBorder="1" applyAlignment="1">
      <alignment horizontal="center" vertical="center" wrapText="1"/>
    </xf>
    <xf numFmtId="0" fontId="21" fillId="33" borderId="34" xfId="0" applyFont="1" applyFill="1" applyBorder="1" applyAlignment="1">
      <alignment horizontal="center" vertical="center" wrapText="1"/>
    </xf>
    <xf numFmtId="0" fontId="21" fillId="33" borderId="35" xfId="0" applyFont="1" applyFill="1" applyBorder="1" applyAlignment="1">
      <alignment horizontal="center" vertical="center" wrapText="1"/>
    </xf>
    <xf numFmtId="0" fontId="24" fillId="0" borderId="62" xfId="0" applyFont="1" applyBorder="1" applyAlignment="1">
      <alignment horizontal="right" vertical="center"/>
    </xf>
    <xf numFmtId="0" fontId="24" fillId="0" borderId="63" xfId="0" applyFont="1" applyBorder="1" applyAlignment="1">
      <alignment horizontal="right" vertical="center"/>
    </xf>
    <xf numFmtId="0" fontId="24" fillId="0" borderId="70" xfId="0" applyFont="1" applyBorder="1" applyAlignment="1">
      <alignment horizontal="center" vertical="center"/>
    </xf>
    <xf numFmtId="0" fontId="24" fillId="0" borderId="71" xfId="0" applyFont="1" applyBorder="1" applyAlignment="1">
      <alignment horizontal="center" vertical="center"/>
    </xf>
    <xf numFmtId="0" fontId="24" fillId="0" borderId="58" xfId="0" applyFont="1" applyBorder="1" applyAlignment="1">
      <alignment horizontal="right" vertical="center"/>
    </xf>
    <xf numFmtId="0" fontId="24" fillId="0" borderId="61" xfId="0" applyFont="1" applyBorder="1" applyAlignment="1">
      <alignment horizontal="right" vertical="center"/>
    </xf>
    <xf numFmtId="38" fontId="24" fillId="0" borderId="58" xfId="42" applyFont="1" applyBorder="1" applyAlignment="1">
      <alignment horizontal="center" vertical="center" shrinkToFit="1"/>
    </xf>
    <xf numFmtId="38" fontId="24" fillId="0" borderId="61" xfId="42" applyFont="1" applyBorder="1" applyAlignment="1">
      <alignment horizontal="center" vertical="center" shrinkToFit="1"/>
    </xf>
    <xf numFmtId="0" fontId="21" fillId="0" borderId="20" xfId="0" applyFont="1" applyBorder="1" applyAlignment="1">
      <alignment horizontal="left" vertical="center" shrinkToFit="1"/>
    </xf>
    <xf numFmtId="0" fontId="21" fillId="0" borderId="22" xfId="0" applyFont="1" applyBorder="1" applyAlignment="1">
      <alignment horizontal="left" vertical="center" shrinkToFit="1"/>
    </xf>
    <xf numFmtId="0" fontId="21" fillId="0" borderId="37" xfId="0" applyFont="1" applyBorder="1" applyAlignment="1">
      <alignment horizontal="left" vertical="center" shrinkToFit="1"/>
    </xf>
    <xf numFmtId="0" fontId="21" fillId="0" borderId="38" xfId="0" applyFont="1" applyBorder="1" applyAlignment="1">
      <alignment horizontal="left" vertical="center" shrinkToFit="1"/>
    </xf>
    <xf numFmtId="0" fontId="21" fillId="0" borderId="51" xfId="0" applyFont="1" applyBorder="1" applyAlignment="1">
      <alignment horizontal="left" vertical="center"/>
    </xf>
    <xf numFmtId="0" fontId="21" fillId="0" borderId="52" xfId="0" applyFont="1" applyBorder="1" applyAlignment="1">
      <alignment horizontal="left" vertical="center"/>
    </xf>
    <xf numFmtId="0" fontId="21" fillId="33" borderId="29" xfId="0" applyFont="1" applyFill="1" applyBorder="1" applyAlignment="1">
      <alignment horizontal="center" vertical="center"/>
    </xf>
    <xf numFmtId="0" fontId="21" fillId="33" borderId="34" xfId="0" applyFont="1" applyFill="1" applyBorder="1" applyAlignment="1">
      <alignment horizontal="center" vertical="center"/>
    </xf>
    <xf numFmtId="0" fontId="21" fillId="33" borderId="47" xfId="0" applyFont="1" applyFill="1" applyBorder="1" applyAlignment="1">
      <alignment horizontal="center" vertical="center"/>
    </xf>
    <xf numFmtId="0" fontId="21" fillId="33" borderId="57" xfId="0" applyFont="1" applyFill="1" applyBorder="1" applyAlignment="1">
      <alignment horizontal="center" vertical="center" wrapText="1"/>
    </xf>
    <xf numFmtId="0" fontId="22" fillId="34" borderId="59" xfId="0" applyFont="1" applyFill="1" applyBorder="1" applyAlignment="1">
      <alignment horizontal="center" vertical="center"/>
    </xf>
    <xf numFmtId="0" fontId="22" fillId="34" borderId="60" xfId="0" applyFont="1" applyFill="1" applyBorder="1" applyAlignment="1">
      <alignment horizontal="center" vertical="center"/>
    </xf>
    <xf numFmtId="0" fontId="19" fillId="0" borderId="16" xfId="0" applyFont="1" applyBorder="1" applyAlignment="1">
      <alignment horizontal="left" vertical="top" wrapText="1"/>
    </xf>
    <xf numFmtId="0" fontId="19" fillId="0" borderId="27" xfId="0" applyFont="1" applyBorder="1" applyAlignment="1">
      <alignment horizontal="left" vertical="top" wrapText="1"/>
    </xf>
    <xf numFmtId="0" fontId="19" fillId="0" borderId="28" xfId="0" applyFont="1" applyBorder="1" applyAlignment="1">
      <alignment horizontal="left" vertical="top" wrapText="1"/>
    </xf>
    <xf numFmtId="0" fontId="19" fillId="0" borderId="0" xfId="0" applyFont="1" applyBorder="1" applyAlignment="1">
      <alignment horizontal="left" vertical="top" wrapText="1"/>
    </xf>
    <xf numFmtId="0" fontId="19" fillId="0" borderId="39" xfId="0" applyFont="1" applyBorder="1" applyAlignment="1">
      <alignment horizontal="left" vertical="top" wrapText="1"/>
    </xf>
    <xf numFmtId="0" fontId="19" fillId="0" borderId="12" xfId="0" applyFont="1" applyBorder="1" applyAlignment="1">
      <alignment horizontal="left" vertical="top" wrapText="1"/>
    </xf>
    <xf numFmtId="0" fontId="21" fillId="0" borderId="21" xfId="0" applyFont="1" applyBorder="1" applyAlignment="1">
      <alignment horizontal="left" vertical="center"/>
    </xf>
    <xf numFmtId="0" fontId="21" fillId="0" borderId="22" xfId="0" applyFont="1" applyBorder="1" applyAlignment="1">
      <alignment horizontal="left" vertical="center"/>
    </xf>
    <xf numFmtId="0" fontId="21" fillId="33" borderId="50" xfId="0" applyFont="1" applyFill="1" applyBorder="1" applyAlignment="1">
      <alignment horizontal="center" vertical="center"/>
    </xf>
    <xf numFmtId="0" fontId="21" fillId="33" borderId="35" xfId="0" applyFont="1" applyFill="1" applyBorder="1" applyAlignment="1">
      <alignment horizontal="center" vertical="center"/>
    </xf>
    <xf numFmtId="0" fontId="21" fillId="33" borderId="14" xfId="0" applyFont="1" applyFill="1" applyBorder="1" applyAlignment="1">
      <alignment horizontal="center" vertical="center"/>
    </xf>
    <xf numFmtId="0" fontId="21" fillId="33" borderId="49" xfId="0" applyFont="1" applyFill="1" applyBorder="1" applyAlignment="1">
      <alignment horizontal="center" vertical="center"/>
    </xf>
    <xf numFmtId="0" fontId="21" fillId="0" borderId="18" xfId="0" applyFont="1" applyBorder="1" applyAlignment="1">
      <alignment horizontal="left" vertical="center"/>
    </xf>
    <xf numFmtId="0" fontId="23" fillId="0" borderId="28" xfId="0" applyFont="1" applyBorder="1" applyAlignment="1">
      <alignment horizontal="center" vertical="top"/>
    </xf>
    <xf numFmtId="0" fontId="23" fillId="0" borderId="17" xfId="0" applyFont="1" applyBorder="1" applyAlignment="1">
      <alignment horizontal="center" vertical="top"/>
    </xf>
    <xf numFmtId="0" fontId="23" fillId="0" borderId="16" xfId="0" applyFont="1" applyBorder="1" applyAlignment="1">
      <alignment horizontal="left" vertical="top" shrinkToFit="1"/>
    </xf>
    <xf numFmtId="0" fontId="23" fillId="0" borderId="27" xfId="0" applyFont="1" applyBorder="1" applyAlignment="1">
      <alignment horizontal="left" vertical="top" shrinkToFit="1"/>
    </xf>
    <xf numFmtId="0" fontId="52" fillId="0" borderId="82" xfId="0" applyFont="1" applyBorder="1" applyAlignment="1">
      <alignment horizontal="left" vertical="center" shrinkToFit="1"/>
    </xf>
    <xf numFmtId="0" fontId="52" fillId="0" borderId="19" xfId="0" applyFont="1" applyBorder="1" applyAlignment="1">
      <alignment horizontal="left" vertical="center" shrinkToFit="1"/>
    </xf>
    <xf numFmtId="0" fontId="22" fillId="0" borderId="36" xfId="0" applyFont="1" applyBorder="1" applyAlignment="1">
      <alignment horizontal="left" vertical="center" wrapText="1"/>
    </xf>
    <xf numFmtId="0" fontId="22" fillId="0" borderId="36" xfId="0" applyFont="1" applyBorder="1" applyAlignment="1">
      <alignment horizontal="left" vertical="center"/>
    </xf>
    <xf numFmtId="0" fontId="22" fillId="0" borderId="66" xfId="0" applyFont="1" applyBorder="1" applyAlignment="1">
      <alignment horizontal="left" vertical="center"/>
    </xf>
    <xf numFmtId="0" fontId="21" fillId="0" borderId="27" xfId="0" applyFont="1" applyBorder="1" applyAlignment="1">
      <alignment horizontal="left" vertical="center"/>
    </xf>
    <xf numFmtId="0" fontId="19" fillId="0" borderId="27" xfId="0" applyFont="1" applyBorder="1" applyAlignment="1">
      <alignment horizontal="center" vertical="center" wrapText="1"/>
    </xf>
    <xf numFmtId="0" fontId="19" fillId="0" borderId="18" xfId="0" applyFont="1" applyBorder="1" applyAlignment="1">
      <alignment horizontal="center" vertical="center" wrapText="1"/>
    </xf>
    <xf numFmtId="0" fontId="21" fillId="35" borderId="31" xfId="0" applyFont="1" applyFill="1" applyBorder="1" applyAlignment="1">
      <alignment horizontal="center" vertical="center"/>
    </xf>
    <xf numFmtId="0" fontId="21" fillId="35" borderId="48" xfId="0" applyFont="1" applyFill="1" applyBorder="1" applyAlignment="1">
      <alignment horizontal="center" vertical="center"/>
    </xf>
    <xf numFmtId="0" fontId="21" fillId="35" borderId="20" xfId="0" applyFont="1" applyFill="1" applyBorder="1" applyAlignment="1">
      <alignment horizontal="center" vertical="center"/>
    </xf>
    <xf numFmtId="0" fontId="21" fillId="35" borderId="21" xfId="0" applyFont="1" applyFill="1" applyBorder="1" applyAlignment="1">
      <alignment horizontal="center" vertical="center"/>
    </xf>
    <xf numFmtId="0" fontId="21" fillId="0" borderId="16" xfId="0" applyFont="1" applyBorder="1" applyAlignment="1">
      <alignment horizontal="center" vertical="top" wrapText="1"/>
    </xf>
    <xf numFmtId="0" fontId="21" fillId="0" borderId="46" xfId="0" applyFont="1" applyBorder="1" applyAlignment="1">
      <alignment horizontal="center" vertical="top" wrapText="1"/>
    </xf>
    <xf numFmtId="178" fontId="22" fillId="0" borderId="17" xfId="0" applyNumberFormat="1" applyFont="1" applyBorder="1" applyAlignment="1">
      <alignment horizontal="center" vertical="top"/>
    </xf>
    <xf numFmtId="0" fontId="22" fillId="0" borderId="45" xfId="0" applyFont="1" applyBorder="1" applyAlignment="1">
      <alignment horizontal="center" vertical="top"/>
    </xf>
    <xf numFmtId="0" fontId="45" fillId="35" borderId="20" xfId="0" applyFont="1" applyFill="1" applyBorder="1" applyAlignment="1">
      <alignment horizontal="center" vertical="center"/>
    </xf>
    <xf numFmtId="0" fontId="45" fillId="35" borderId="21" xfId="0" applyFont="1" applyFill="1" applyBorder="1" applyAlignment="1">
      <alignment horizontal="center" vertical="center"/>
    </xf>
    <xf numFmtId="0" fontId="45" fillId="35" borderId="85" xfId="0" applyFont="1" applyFill="1" applyBorder="1" applyAlignment="1">
      <alignment horizontal="center" vertical="center"/>
    </xf>
    <xf numFmtId="0" fontId="45" fillId="35" borderId="89" xfId="0" applyFont="1" applyFill="1" applyBorder="1" applyAlignment="1">
      <alignment horizontal="center" vertical="center"/>
    </xf>
    <xf numFmtId="0" fontId="21" fillId="35" borderId="37" xfId="0" applyFont="1" applyFill="1" applyBorder="1" applyAlignment="1">
      <alignment horizontal="center" vertical="center"/>
    </xf>
    <xf numFmtId="0" fontId="21" fillId="35" borderId="44" xfId="0" applyFont="1" applyFill="1" applyBorder="1" applyAlignment="1">
      <alignment horizontal="center" vertical="center"/>
    </xf>
    <xf numFmtId="0" fontId="26" fillId="0" borderId="23" xfId="0" applyFont="1" applyBorder="1" applyAlignment="1">
      <alignment horizontal="center" vertical="center" wrapText="1"/>
    </xf>
    <xf numFmtId="0" fontId="26" fillId="0" borderId="56" xfId="0" applyFont="1" applyBorder="1" applyAlignment="1">
      <alignment horizontal="center" vertical="center"/>
    </xf>
    <xf numFmtId="0" fontId="26" fillId="0" borderId="24" xfId="0" applyFont="1" applyBorder="1" applyAlignment="1">
      <alignment horizontal="center" vertical="center"/>
    </xf>
    <xf numFmtId="0" fontId="26" fillId="0" borderId="0" xfId="0" applyFont="1" applyBorder="1" applyAlignment="1">
      <alignment horizontal="center" vertical="center"/>
    </xf>
    <xf numFmtId="0" fontId="26" fillId="0" borderId="16" xfId="0" applyFont="1" applyBorder="1" applyAlignment="1">
      <alignment horizontal="center" vertical="center" wrapText="1"/>
    </xf>
    <xf numFmtId="0" fontId="26" fillId="0" borderId="28" xfId="0" applyFont="1" applyBorder="1" applyAlignment="1">
      <alignment horizontal="center" vertical="center"/>
    </xf>
    <xf numFmtId="0" fontId="26" fillId="0" borderId="17" xfId="0" applyFont="1" applyBorder="1" applyAlignment="1">
      <alignment horizontal="center" vertical="center"/>
    </xf>
    <xf numFmtId="0" fontId="40" fillId="0" borderId="16" xfId="0" applyFont="1" applyBorder="1" applyAlignment="1">
      <alignment horizontal="left" vertical="center" wrapText="1"/>
    </xf>
    <xf numFmtId="0" fontId="40" fillId="0" borderId="27" xfId="0" applyFont="1" applyBorder="1" applyAlignment="1">
      <alignment horizontal="left" vertical="center" wrapText="1"/>
    </xf>
    <xf numFmtId="0" fontId="40" fillId="0" borderId="25" xfId="0" applyFont="1" applyBorder="1" applyAlignment="1">
      <alignment horizontal="left" vertical="center" wrapText="1"/>
    </xf>
    <xf numFmtId="0" fontId="40" fillId="0" borderId="17" xfId="0" applyFont="1" applyBorder="1" applyAlignment="1">
      <alignment horizontal="left" vertical="center" wrapText="1"/>
    </xf>
    <xf numFmtId="0" fontId="40" fillId="0" borderId="18" xfId="0" applyFont="1" applyBorder="1" applyAlignment="1">
      <alignment horizontal="left" vertical="center" wrapText="1"/>
    </xf>
    <xf numFmtId="0" fontId="40" fillId="0" borderId="19" xfId="0" applyFont="1" applyBorder="1" applyAlignment="1">
      <alignment horizontal="left" vertical="center" wrapText="1"/>
    </xf>
    <xf numFmtId="176" fontId="26" fillId="0" borderId="20" xfId="0" applyNumberFormat="1" applyFont="1" applyBorder="1" applyAlignment="1">
      <alignment horizontal="left" vertical="center"/>
    </xf>
    <xf numFmtId="176" fontId="26" fillId="0" borderId="21" xfId="0" applyNumberFormat="1" applyFont="1" applyBorder="1" applyAlignment="1">
      <alignment horizontal="left" vertical="center"/>
    </xf>
    <xf numFmtId="176" fontId="26" fillId="0" borderId="22" xfId="0" applyNumberFormat="1" applyFont="1" applyBorder="1" applyAlignment="1">
      <alignment horizontal="left" vertical="center"/>
    </xf>
    <xf numFmtId="176" fontId="26" fillId="0" borderId="21" xfId="0" applyNumberFormat="1" applyFont="1" applyBorder="1" applyAlignment="1">
      <alignment horizontal="right" vertical="center"/>
    </xf>
    <xf numFmtId="176" fontId="26" fillId="0" borderId="22" xfId="0" applyNumberFormat="1" applyFont="1" applyBorder="1" applyAlignment="1">
      <alignment horizontal="right" vertical="center"/>
    </xf>
    <xf numFmtId="0" fontId="26" fillId="0" borderId="16" xfId="0" applyFont="1" applyBorder="1" applyAlignment="1">
      <alignment horizontal="center" vertical="center"/>
    </xf>
    <xf numFmtId="0" fontId="26" fillId="0" borderId="25" xfId="0" applyFont="1" applyBorder="1" applyAlignment="1">
      <alignment horizontal="center" vertical="center"/>
    </xf>
    <xf numFmtId="0" fontId="26" fillId="0" borderId="19" xfId="0" applyFont="1" applyBorder="1" applyAlignment="1">
      <alignment horizontal="center" vertical="center"/>
    </xf>
    <xf numFmtId="0" fontId="26" fillId="0" borderId="20" xfId="0" applyFont="1" applyBorder="1" applyAlignment="1">
      <alignment horizontal="center" vertical="center"/>
    </xf>
    <xf numFmtId="0" fontId="26" fillId="0" borderId="22" xfId="0" applyFont="1" applyBorder="1" applyAlignment="1">
      <alignment horizontal="center" vertical="center"/>
    </xf>
    <xf numFmtId="176" fontId="26" fillId="0" borderId="20" xfId="0" applyNumberFormat="1" applyFont="1" applyBorder="1" applyAlignment="1">
      <alignment horizontal="center" vertical="center"/>
    </xf>
    <xf numFmtId="176" fontId="26" fillId="0" borderId="21" xfId="0" applyNumberFormat="1" applyFont="1" applyBorder="1" applyAlignment="1">
      <alignment horizontal="center" vertical="center"/>
    </xf>
    <xf numFmtId="0" fontId="27" fillId="0" borderId="0" xfId="0" applyFont="1" applyAlignment="1">
      <alignment horizontal="center" vertical="center"/>
    </xf>
    <xf numFmtId="0" fontId="26" fillId="0" borderId="27" xfId="0" applyFont="1" applyBorder="1" applyAlignment="1">
      <alignment horizontal="center" vertical="center"/>
    </xf>
    <xf numFmtId="0" fontId="26" fillId="0" borderId="21" xfId="0" applyFont="1" applyBorder="1" applyAlignment="1">
      <alignment horizontal="center" vertical="center"/>
    </xf>
    <xf numFmtId="0" fontId="53" fillId="0" borderId="20" xfId="0" applyFont="1" applyBorder="1" applyAlignment="1">
      <alignment horizontal="left" vertical="center"/>
    </xf>
    <xf numFmtId="0" fontId="53" fillId="0" borderId="21" xfId="0" applyFont="1" applyBorder="1" applyAlignment="1">
      <alignment horizontal="left" vertical="center"/>
    </xf>
    <xf numFmtId="0" fontId="53" fillId="0" borderId="22" xfId="0" applyFont="1" applyBorder="1" applyAlignment="1">
      <alignment horizontal="left" vertical="center"/>
    </xf>
    <xf numFmtId="0" fontId="30" fillId="0" borderId="16" xfId="0" applyFont="1" applyBorder="1" applyAlignment="1">
      <alignment horizontal="center" vertical="center"/>
    </xf>
    <xf numFmtId="0" fontId="30" fillId="0" borderId="27" xfId="0" applyFont="1" applyBorder="1" applyAlignment="1">
      <alignment horizontal="center" vertical="center"/>
    </xf>
    <xf numFmtId="0" fontId="30" fillId="0" borderId="25" xfId="0" applyFont="1" applyBorder="1" applyAlignment="1">
      <alignment horizontal="center" vertical="center"/>
    </xf>
    <xf numFmtId="0" fontId="30" fillId="0" borderId="28" xfId="0" applyFont="1" applyBorder="1" applyAlignment="1">
      <alignment horizontal="center" vertical="center"/>
    </xf>
    <xf numFmtId="0" fontId="30" fillId="0" borderId="0" xfId="0" applyFont="1" applyBorder="1" applyAlignment="1">
      <alignment horizontal="center" vertical="center"/>
    </xf>
    <xf numFmtId="0" fontId="30" fillId="0" borderId="26" xfId="0" applyFont="1" applyBorder="1" applyAlignment="1">
      <alignment horizontal="center" vertical="center"/>
    </xf>
    <xf numFmtId="0" fontId="30" fillId="0" borderId="17" xfId="0" applyFont="1" applyBorder="1" applyAlignment="1">
      <alignment horizontal="center" vertical="center"/>
    </xf>
    <xf numFmtId="0" fontId="30" fillId="0" borderId="18" xfId="0" applyFont="1" applyBorder="1" applyAlignment="1">
      <alignment horizontal="center" vertical="center"/>
    </xf>
    <xf numFmtId="0" fontId="30" fillId="0" borderId="19" xfId="0" applyFont="1" applyBorder="1" applyAlignment="1">
      <alignment horizontal="center" vertical="center"/>
    </xf>
    <xf numFmtId="49" fontId="30" fillId="0" borderId="16" xfId="0" applyNumberFormat="1" applyFont="1" applyBorder="1" applyAlignment="1">
      <alignment horizontal="distributed" vertical="center" wrapText="1"/>
    </xf>
    <xf numFmtId="49" fontId="30" fillId="0" borderId="27" xfId="0" applyNumberFormat="1" applyFont="1" applyBorder="1" applyAlignment="1">
      <alignment horizontal="distributed" vertical="center" wrapText="1"/>
    </xf>
    <xf numFmtId="49" fontId="30" fillId="0" borderId="25" xfId="0" applyNumberFormat="1" applyFont="1" applyBorder="1" applyAlignment="1">
      <alignment horizontal="distributed" vertical="center" wrapText="1"/>
    </xf>
    <xf numFmtId="49" fontId="30" fillId="0" borderId="28" xfId="0" applyNumberFormat="1" applyFont="1" applyBorder="1" applyAlignment="1">
      <alignment horizontal="distributed" vertical="center" wrapText="1"/>
    </xf>
    <xf numFmtId="49" fontId="30" fillId="0" borderId="0" xfId="0" applyNumberFormat="1" applyFont="1" applyBorder="1" applyAlignment="1">
      <alignment horizontal="distributed" vertical="center" wrapText="1"/>
    </xf>
    <xf numFmtId="49" fontId="30" fillId="0" borderId="26" xfId="0" applyNumberFormat="1" applyFont="1" applyBorder="1" applyAlignment="1">
      <alignment horizontal="distributed" vertical="center" wrapText="1"/>
    </xf>
    <xf numFmtId="49" fontId="30" fillId="0" borderId="17" xfId="0" applyNumberFormat="1" applyFont="1" applyBorder="1" applyAlignment="1">
      <alignment horizontal="distributed" vertical="center" wrapText="1"/>
    </xf>
    <xf numFmtId="49" fontId="30" fillId="0" borderId="18" xfId="0" applyNumberFormat="1" applyFont="1" applyBorder="1" applyAlignment="1">
      <alignment horizontal="distributed" vertical="center" wrapText="1"/>
    </xf>
    <xf numFmtId="49" fontId="30" fillId="0" borderId="19" xfId="0" applyNumberFormat="1" applyFont="1" applyBorder="1" applyAlignment="1">
      <alignment horizontal="distributed" vertical="center" wrapText="1"/>
    </xf>
    <xf numFmtId="0" fontId="30" fillId="0" borderId="15" xfId="0" applyFont="1" applyBorder="1" applyAlignment="1">
      <alignment horizontal="center" vertical="center"/>
    </xf>
    <xf numFmtId="0" fontId="34" fillId="0" borderId="16" xfId="0" applyFont="1" applyBorder="1" applyAlignment="1">
      <alignment horizontal="left" vertical="center" wrapText="1"/>
    </xf>
    <xf numFmtId="0" fontId="34" fillId="0" borderId="27" xfId="0" applyFont="1" applyBorder="1" applyAlignment="1">
      <alignment horizontal="left" vertical="center"/>
    </xf>
    <xf numFmtId="0" fontId="34" fillId="0" borderId="25" xfId="0" applyFont="1" applyBorder="1" applyAlignment="1">
      <alignment horizontal="left" vertical="center"/>
    </xf>
    <xf numFmtId="0" fontId="34" fillId="0" borderId="28" xfId="0" applyFont="1" applyBorder="1" applyAlignment="1">
      <alignment horizontal="left" vertical="center"/>
    </xf>
    <xf numFmtId="0" fontId="34" fillId="0" borderId="0" xfId="0" applyFont="1" applyBorder="1" applyAlignment="1">
      <alignment horizontal="left" vertical="center"/>
    </xf>
    <xf numFmtId="0" fontId="34" fillId="0" borderId="26" xfId="0" applyFont="1" applyBorder="1" applyAlignment="1">
      <alignment horizontal="left" vertical="center"/>
    </xf>
    <xf numFmtId="0" fontId="34" fillId="0" borderId="17" xfId="0" applyFont="1" applyBorder="1" applyAlignment="1">
      <alignment horizontal="left" vertical="center"/>
    </xf>
    <xf numFmtId="0" fontId="34" fillId="0" borderId="18" xfId="0" applyFont="1" applyBorder="1" applyAlignment="1">
      <alignment horizontal="left" vertical="center"/>
    </xf>
    <xf numFmtId="0" fontId="34" fillId="0" borderId="19" xfId="0" applyFont="1" applyBorder="1" applyAlignment="1">
      <alignment horizontal="left" vertical="center"/>
    </xf>
    <xf numFmtId="0" fontId="30" fillId="0" borderId="0" xfId="0" applyFont="1" applyBorder="1" applyAlignment="1">
      <alignment horizontal="left" vertical="center" wrapText="1"/>
    </xf>
    <xf numFmtId="0" fontId="29" fillId="0" borderId="0" xfId="0" applyFont="1" applyBorder="1" applyAlignment="1">
      <alignment horizontal="left" vertical="center"/>
    </xf>
    <xf numFmtId="176" fontId="30" fillId="0" borderId="18" xfId="0" applyNumberFormat="1" applyFont="1" applyBorder="1" applyAlignment="1">
      <alignment horizontal="right" vertical="top"/>
    </xf>
    <xf numFmtId="0" fontId="30" fillId="0" borderId="16" xfId="0" applyFont="1" applyBorder="1" applyAlignment="1">
      <alignment horizontal="left" vertical="center"/>
    </xf>
    <xf numFmtId="0" fontId="30" fillId="0" borderId="27" xfId="0" applyFont="1" applyBorder="1" applyAlignment="1">
      <alignment horizontal="left" vertical="center"/>
    </xf>
    <xf numFmtId="0" fontId="30" fillId="0" borderId="25" xfId="0" applyFont="1" applyBorder="1" applyAlignment="1">
      <alignment horizontal="left" vertical="center"/>
    </xf>
    <xf numFmtId="0" fontId="30" fillId="0" borderId="28" xfId="0" applyFont="1" applyBorder="1" applyAlignment="1">
      <alignment horizontal="left" vertical="center"/>
    </xf>
    <xf numFmtId="0" fontId="30" fillId="0" borderId="0" xfId="0" applyFont="1" applyBorder="1" applyAlignment="1">
      <alignment horizontal="left" vertical="center"/>
    </xf>
    <xf numFmtId="0" fontId="30" fillId="0" borderId="26" xfId="0" applyFont="1" applyBorder="1" applyAlignment="1">
      <alignment horizontal="left" vertical="center"/>
    </xf>
    <xf numFmtId="0" fontId="30" fillId="0" borderId="17" xfId="0" applyFont="1" applyBorder="1" applyAlignment="1">
      <alignment horizontal="left" vertical="center"/>
    </xf>
    <xf numFmtId="0" fontId="30" fillId="0" borderId="18" xfId="0" applyFont="1" applyBorder="1" applyAlignment="1">
      <alignment horizontal="left" vertical="center"/>
    </xf>
    <xf numFmtId="0" fontId="30" fillId="0" borderId="19" xfId="0" applyFont="1" applyBorder="1" applyAlignment="1">
      <alignment horizontal="left" vertical="center"/>
    </xf>
    <xf numFmtId="49" fontId="34" fillId="0" borderId="20" xfId="0" applyNumberFormat="1" applyFont="1" applyBorder="1" applyAlignment="1">
      <alignment horizontal="center" vertical="center" wrapText="1"/>
    </xf>
    <xf numFmtId="49" fontId="34" fillId="0" borderId="21" xfId="0" applyNumberFormat="1" applyFont="1" applyBorder="1" applyAlignment="1">
      <alignment horizontal="center" vertical="center" wrapText="1"/>
    </xf>
    <xf numFmtId="49" fontId="34" fillId="0" borderId="22" xfId="0" applyNumberFormat="1" applyFont="1" applyBorder="1" applyAlignment="1">
      <alignment horizontal="center" vertical="center" wrapText="1"/>
    </xf>
    <xf numFmtId="0" fontId="34" fillId="0" borderId="20" xfId="0" applyFont="1" applyBorder="1" applyAlignment="1">
      <alignment horizontal="center" vertical="center"/>
    </xf>
    <xf numFmtId="0" fontId="34" fillId="0" borderId="21" xfId="0" applyFont="1" applyBorder="1" applyAlignment="1">
      <alignment horizontal="center" vertical="center"/>
    </xf>
    <xf numFmtId="0" fontId="34" fillId="0" borderId="22" xfId="0" applyFont="1" applyBorder="1" applyAlignment="1">
      <alignment horizontal="center" vertical="center"/>
    </xf>
    <xf numFmtId="49" fontId="34" fillId="0" borderId="16" xfId="0" applyNumberFormat="1" applyFont="1" applyBorder="1" applyAlignment="1">
      <alignment horizontal="center" vertical="center" wrapText="1"/>
    </xf>
    <xf numFmtId="49" fontId="34" fillId="0" borderId="27" xfId="0" applyNumberFormat="1" applyFont="1" applyBorder="1" applyAlignment="1">
      <alignment horizontal="center" vertical="center" wrapText="1"/>
    </xf>
    <xf numFmtId="49" fontId="34" fillId="0" borderId="25" xfId="0" applyNumberFormat="1" applyFont="1" applyBorder="1" applyAlignment="1">
      <alignment horizontal="center" vertical="center" wrapText="1"/>
    </xf>
    <xf numFmtId="49" fontId="34" fillId="0" borderId="17" xfId="0" applyNumberFormat="1" applyFont="1" applyBorder="1" applyAlignment="1">
      <alignment horizontal="center" vertical="center" wrapText="1"/>
    </xf>
    <xf numFmtId="49" fontId="34" fillId="0" borderId="18" xfId="0" applyNumberFormat="1" applyFont="1" applyBorder="1" applyAlignment="1">
      <alignment horizontal="center" vertical="center" wrapText="1"/>
    </xf>
    <xf numFmtId="49" fontId="34" fillId="0" borderId="19" xfId="0" applyNumberFormat="1" applyFont="1" applyBorder="1" applyAlignment="1">
      <alignment horizontal="center" vertical="center" wrapText="1"/>
    </xf>
    <xf numFmtId="0" fontId="34" fillId="0" borderId="16" xfId="0" applyFont="1" applyBorder="1" applyAlignment="1">
      <alignment horizontal="center" vertical="center"/>
    </xf>
    <xf numFmtId="0" fontId="34" fillId="0" borderId="27" xfId="0" applyFont="1" applyBorder="1" applyAlignment="1">
      <alignment horizontal="center" vertical="center"/>
    </xf>
    <xf numFmtId="0" fontId="34" fillId="0" borderId="25" xfId="0" applyFont="1" applyBorder="1" applyAlignment="1">
      <alignment horizontal="center" vertical="center"/>
    </xf>
    <xf numFmtId="0" fontId="34" fillId="0" borderId="17" xfId="0" applyFont="1" applyBorder="1" applyAlignment="1">
      <alignment horizontal="center" vertical="center"/>
    </xf>
    <xf numFmtId="0" fontId="34" fillId="0" borderId="18" xfId="0" applyFont="1" applyBorder="1" applyAlignment="1">
      <alignment horizontal="center" vertical="center"/>
    </xf>
    <xf numFmtId="0" fontId="34" fillId="0" borderId="19" xfId="0" applyFont="1" applyBorder="1" applyAlignment="1">
      <alignment horizontal="center" vertical="center"/>
    </xf>
    <xf numFmtId="49" fontId="30" fillId="0" borderId="15" xfId="0" applyNumberFormat="1" applyFont="1" applyBorder="1" applyAlignment="1">
      <alignment horizontal="distributed" vertical="center" wrapText="1"/>
    </xf>
    <xf numFmtId="0" fontId="30" fillId="0" borderId="16" xfId="0" applyFont="1" applyBorder="1" applyAlignment="1">
      <alignment horizontal="right" vertical="center"/>
    </xf>
    <xf numFmtId="0" fontId="30" fillId="0" borderId="27" xfId="0" applyFont="1" applyBorder="1" applyAlignment="1">
      <alignment horizontal="right" vertical="center"/>
    </xf>
    <xf numFmtId="0" fontId="30" fillId="0" borderId="25" xfId="0" applyFont="1" applyBorder="1" applyAlignment="1">
      <alignment horizontal="right" vertical="center"/>
    </xf>
    <xf numFmtId="0" fontId="30" fillId="0" borderId="28" xfId="0" applyFont="1" applyBorder="1" applyAlignment="1">
      <alignment horizontal="right" vertical="center"/>
    </xf>
    <xf numFmtId="0" fontId="30" fillId="0" borderId="0" xfId="0" applyFont="1" applyBorder="1" applyAlignment="1">
      <alignment horizontal="right" vertical="center"/>
    </xf>
    <xf numFmtId="0" fontId="30" fillId="0" borderId="26" xfId="0" applyFont="1" applyBorder="1" applyAlignment="1">
      <alignment horizontal="right" vertical="center"/>
    </xf>
    <xf numFmtId="0" fontId="30" fillId="0" borderId="17" xfId="0" applyFont="1" applyBorder="1" applyAlignment="1">
      <alignment horizontal="right" vertical="center"/>
    </xf>
    <xf numFmtId="0" fontId="30" fillId="0" borderId="18" xfId="0" applyFont="1" applyBorder="1" applyAlignment="1">
      <alignment horizontal="right" vertical="center"/>
    </xf>
    <xf numFmtId="0" fontId="30" fillId="0" borderId="19" xfId="0" applyFont="1" applyBorder="1" applyAlignment="1">
      <alignment horizontal="right" vertical="center"/>
    </xf>
    <xf numFmtId="0" fontId="30" fillId="0" borderId="16" xfId="0" applyFont="1" applyBorder="1" applyAlignment="1">
      <alignment horizontal="center" vertical="center" shrinkToFit="1"/>
    </xf>
    <xf numFmtId="0" fontId="30" fillId="0" borderId="27" xfId="0" applyFont="1" applyBorder="1" applyAlignment="1">
      <alignment horizontal="center" vertical="center" shrinkToFit="1"/>
    </xf>
    <xf numFmtId="0" fontId="30" fillId="0" borderId="25" xfId="0" applyFont="1" applyBorder="1" applyAlignment="1">
      <alignment horizontal="center" vertical="center" shrinkToFit="1"/>
    </xf>
    <xf numFmtId="0" fontId="30" fillId="0" borderId="28" xfId="0" applyFont="1" applyBorder="1" applyAlignment="1">
      <alignment horizontal="center" vertical="center" shrinkToFit="1"/>
    </xf>
    <xf numFmtId="0" fontId="30" fillId="0" borderId="0" xfId="0" applyFont="1" applyBorder="1" applyAlignment="1">
      <alignment horizontal="center" vertical="center" shrinkToFit="1"/>
    </xf>
    <xf numFmtId="0" fontId="30" fillId="0" borderId="26" xfId="0" applyFont="1" applyBorder="1" applyAlignment="1">
      <alignment horizontal="center" vertical="center" shrinkToFit="1"/>
    </xf>
    <xf numFmtId="0" fontId="30" fillId="0" borderId="17" xfId="0" applyFont="1" applyBorder="1" applyAlignment="1">
      <alignment horizontal="center" vertical="center" shrinkToFit="1"/>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49" fontId="30" fillId="0" borderId="15" xfId="0" applyNumberFormat="1" applyFont="1" applyBorder="1" applyAlignment="1">
      <alignment horizontal="distributed" vertical="center"/>
    </xf>
    <xf numFmtId="0" fontId="54" fillId="0" borderId="16" xfId="0" applyFont="1" applyBorder="1" applyAlignment="1">
      <alignment horizontal="left" vertical="center"/>
    </xf>
    <xf numFmtId="0" fontId="54" fillId="0" borderId="27" xfId="0" applyFont="1" applyBorder="1" applyAlignment="1">
      <alignment horizontal="left" vertical="center"/>
    </xf>
    <xf numFmtId="0" fontId="54" fillId="0" borderId="25" xfId="0" applyFont="1" applyBorder="1" applyAlignment="1">
      <alignment horizontal="left" vertical="center"/>
    </xf>
    <xf numFmtId="0" fontId="54" fillId="0" borderId="28" xfId="0" applyFont="1" applyBorder="1" applyAlignment="1">
      <alignment horizontal="left" vertical="center"/>
    </xf>
    <xf numFmtId="0" fontId="54" fillId="0" borderId="0" xfId="0" applyFont="1" applyBorder="1" applyAlignment="1">
      <alignment horizontal="left" vertical="center"/>
    </xf>
    <xf numFmtId="0" fontId="54" fillId="0" borderId="26" xfId="0" applyFont="1" applyBorder="1" applyAlignment="1">
      <alignment horizontal="left" vertical="center"/>
    </xf>
    <xf numFmtId="0" fontId="54" fillId="0" borderId="17" xfId="0" applyFont="1" applyBorder="1" applyAlignment="1">
      <alignment horizontal="left" vertical="center"/>
    </xf>
    <xf numFmtId="0" fontId="54" fillId="0" borderId="18" xfId="0" applyFont="1" applyBorder="1" applyAlignment="1">
      <alignment horizontal="left" vertical="center"/>
    </xf>
    <xf numFmtId="0" fontId="54" fillId="0" borderId="19" xfId="0" applyFont="1" applyBorder="1" applyAlignment="1">
      <alignment horizontal="left" vertical="center"/>
    </xf>
    <xf numFmtId="49" fontId="30" fillId="0" borderId="16" xfId="0" applyNumberFormat="1" applyFont="1" applyBorder="1" applyAlignment="1">
      <alignment horizontal="distributed" vertical="center"/>
    </xf>
    <xf numFmtId="49" fontId="30" fillId="0" borderId="27" xfId="0" applyNumberFormat="1" applyFont="1" applyBorder="1" applyAlignment="1">
      <alignment horizontal="distributed" vertical="center"/>
    </xf>
    <xf numFmtId="49" fontId="30" fillId="0" borderId="25" xfId="0" applyNumberFormat="1" applyFont="1" applyBorder="1" applyAlignment="1">
      <alignment horizontal="distributed" vertical="center"/>
    </xf>
    <xf numFmtId="49" fontId="30" fillId="0" borderId="28" xfId="0" applyNumberFormat="1" applyFont="1" applyBorder="1" applyAlignment="1">
      <alignment horizontal="distributed" vertical="center"/>
    </xf>
    <xf numFmtId="49" fontId="30" fillId="0" borderId="0" xfId="0" applyNumberFormat="1" applyFont="1" applyBorder="1" applyAlignment="1">
      <alignment horizontal="distributed" vertical="center"/>
    </xf>
    <xf numFmtId="49" fontId="30" fillId="0" borderId="26" xfId="0" applyNumberFormat="1" applyFont="1" applyBorder="1" applyAlignment="1">
      <alignment horizontal="distributed" vertical="center"/>
    </xf>
    <xf numFmtId="49" fontId="30" fillId="0" borderId="17" xfId="0" applyNumberFormat="1" applyFont="1" applyBorder="1" applyAlignment="1">
      <alignment horizontal="distributed" vertical="center"/>
    </xf>
    <xf numFmtId="49" fontId="30" fillId="0" borderId="18" xfId="0" applyNumberFormat="1" applyFont="1" applyBorder="1" applyAlignment="1">
      <alignment horizontal="distributed" vertical="center"/>
    </xf>
    <xf numFmtId="49" fontId="30" fillId="0" borderId="19" xfId="0" applyNumberFormat="1" applyFont="1" applyBorder="1" applyAlignment="1">
      <alignment horizontal="distributed" vertical="center"/>
    </xf>
    <xf numFmtId="0" fontId="37" fillId="0" borderId="16" xfId="0" applyFont="1" applyBorder="1" applyAlignment="1">
      <alignment horizontal="left" vertical="center"/>
    </xf>
    <xf numFmtId="0" fontId="37" fillId="0" borderId="27" xfId="0" applyFont="1" applyBorder="1" applyAlignment="1">
      <alignment horizontal="left" vertical="center"/>
    </xf>
    <xf numFmtId="0" fontId="37" fillId="0" borderId="25" xfId="0" applyFont="1" applyBorder="1" applyAlignment="1">
      <alignment horizontal="left" vertical="center"/>
    </xf>
    <xf numFmtId="0" fontId="37" fillId="0" borderId="28" xfId="0" applyFont="1" applyBorder="1" applyAlignment="1">
      <alignment horizontal="left" vertical="center"/>
    </xf>
    <xf numFmtId="0" fontId="37" fillId="0" borderId="0" xfId="0" applyFont="1" applyBorder="1" applyAlignment="1">
      <alignment horizontal="left" vertical="center"/>
    </xf>
    <xf numFmtId="0" fontId="37" fillId="0" borderId="26" xfId="0" applyFont="1" applyBorder="1" applyAlignment="1">
      <alignment horizontal="left" vertical="center"/>
    </xf>
    <xf numFmtId="0" fontId="37" fillId="0" borderId="17" xfId="0" applyFont="1" applyBorder="1" applyAlignment="1">
      <alignment horizontal="left" vertical="center"/>
    </xf>
    <xf numFmtId="0" fontId="37" fillId="0" borderId="18" xfId="0" applyFont="1" applyBorder="1" applyAlignment="1">
      <alignment horizontal="left" vertical="center"/>
    </xf>
    <xf numFmtId="0" fontId="37" fillId="0" borderId="19" xfId="0" applyFont="1" applyBorder="1" applyAlignment="1">
      <alignment horizontal="left" vertical="center"/>
    </xf>
    <xf numFmtId="0" fontId="30" fillId="0" borderId="16" xfId="0" applyFont="1" applyBorder="1" applyAlignment="1">
      <alignment horizontal="distributed" vertical="center" wrapText="1"/>
    </xf>
    <xf numFmtId="0" fontId="30" fillId="0" borderId="27" xfId="0" applyFont="1" applyBorder="1" applyAlignment="1">
      <alignment horizontal="distributed" vertical="center" wrapText="1"/>
    </xf>
    <xf numFmtId="0" fontId="30" fillId="0" borderId="28" xfId="0" applyFont="1" applyBorder="1" applyAlignment="1">
      <alignment horizontal="distributed" vertical="center" wrapText="1"/>
    </xf>
    <xf numFmtId="0" fontId="30" fillId="0" borderId="0" xfId="0" applyFont="1" applyBorder="1" applyAlignment="1">
      <alignment horizontal="distributed" vertical="center" wrapText="1"/>
    </xf>
    <xf numFmtId="0" fontId="30" fillId="0" borderId="17" xfId="0" applyFont="1" applyBorder="1" applyAlignment="1">
      <alignment horizontal="distributed" vertical="center" wrapText="1"/>
    </xf>
    <xf numFmtId="0" fontId="30" fillId="0" borderId="18" xfId="0" applyFont="1" applyBorder="1" applyAlignment="1">
      <alignment horizontal="distributed" vertical="center" wrapText="1"/>
    </xf>
    <xf numFmtId="177" fontId="30" fillId="0" borderId="15" xfId="0" applyNumberFormat="1" applyFont="1" applyBorder="1" applyAlignment="1">
      <alignment horizontal="center" vertical="center"/>
    </xf>
    <xf numFmtId="0" fontId="30" fillId="0" borderId="15" xfId="0" applyFont="1" applyBorder="1" applyAlignment="1">
      <alignment horizontal="center" vertical="center" wrapText="1"/>
    </xf>
    <xf numFmtId="58" fontId="37" fillId="0" borderId="15" xfId="0" applyNumberFormat="1" applyFont="1" applyBorder="1" applyAlignment="1">
      <alignment horizontal="center" vertical="center"/>
    </xf>
    <xf numFmtId="0" fontId="37" fillId="0" borderId="15" xfId="0" applyFont="1" applyBorder="1" applyAlignment="1">
      <alignment horizontal="center" vertical="center"/>
    </xf>
    <xf numFmtId="0" fontId="30" fillId="0" borderId="16" xfId="0" applyFont="1" applyBorder="1" applyAlignment="1">
      <alignment horizontal="center" vertical="center" wrapText="1"/>
    </xf>
    <xf numFmtId="0" fontId="30" fillId="0" borderId="27" xfId="0" applyFont="1" applyBorder="1" applyAlignment="1">
      <alignment horizontal="center" vertical="center" wrapText="1"/>
    </xf>
    <xf numFmtId="0" fontId="30" fillId="0" borderId="28" xfId="0" applyFont="1" applyBorder="1" applyAlignment="1">
      <alignment horizontal="center" vertical="center" wrapText="1"/>
    </xf>
    <xf numFmtId="0" fontId="30" fillId="0" borderId="0" xfId="0" applyFont="1" applyBorder="1" applyAlignment="1">
      <alignment horizontal="center" vertical="center" wrapText="1"/>
    </xf>
    <xf numFmtId="0" fontId="31" fillId="0" borderId="0" xfId="0" applyFont="1" applyBorder="1" applyAlignment="1">
      <alignment horizontal="center" vertical="center" wrapText="1"/>
    </xf>
    <xf numFmtId="49" fontId="38" fillId="0" borderId="0" xfId="0" applyNumberFormat="1" applyFont="1" applyBorder="1" applyAlignment="1">
      <alignment horizontal="center" vertical="center"/>
    </xf>
    <xf numFmtId="0" fontId="38" fillId="0" borderId="0" xfId="0" applyFont="1" applyBorder="1" applyAlignment="1">
      <alignment horizontal="center" vertical="center"/>
    </xf>
    <xf numFmtId="49" fontId="38" fillId="0" borderId="0" xfId="0" applyNumberFormat="1" applyFont="1" applyBorder="1" applyAlignment="1">
      <alignment horizontal="center" vertical="center" wrapText="1"/>
    </xf>
    <xf numFmtId="0" fontId="38" fillId="0" borderId="0" xfId="0" applyFont="1" applyBorder="1" applyAlignment="1">
      <alignment horizontal="center" vertical="center" wrapText="1"/>
    </xf>
    <xf numFmtId="0" fontId="39" fillId="0" borderId="0" xfId="0" applyFont="1" applyBorder="1" applyAlignment="1">
      <alignment horizontal="center" vertical="center" wrapText="1"/>
    </xf>
    <xf numFmtId="0" fontId="39" fillId="0" borderId="27" xfId="0" applyFont="1" applyBorder="1" applyAlignment="1">
      <alignment horizontal="center" vertical="center"/>
    </xf>
    <xf numFmtId="0" fontId="39" fillId="0" borderId="25" xfId="0" applyFont="1" applyBorder="1" applyAlignment="1">
      <alignment horizontal="center" vertical="center"/>
    </xf>
    <xf numFmtId="0" fontId="39" fillId="0" borderId="18" xfId="0" applyFont="1" applyBorder="1" applyAlignment="1">
      <alignment horizontal="center" vertical="center"/>
    </xf>
    <xf numFmtId="0" fontId="39" fillId="0" borderId="19" xfId="0" applyFont="1" applyBorder="1" applyAlignment="1">
      <alignment horizontal="center" vertical="center"/>
    </xf>
    <xf numFmtId="0" fontId="38" fillId="0" borderId="20" xfId="0" applyFont="1" applyBorder="1" applyAlignment="1">
      <alignment horizontal="center" vertical="center"/>
    </xf>
    <xf numFmtId="0" fontId="39" fillId="0" borderId="21" xfId="0" applyFont="1" applyBorder="1" applyAlignment="1">
      <alignment horizontal="center" vertical="center"/>
    </xf>
    <xf numFmtId="0" fontId="39" fillId="0" borderId="22" xfId="0" applyFont="1" applyBorder="1" applyAlignment="1">
      <alignment horizontal="center" vertical="center"/>
    </xf>
    <xf numFmtId="0" fontId="39" fillId="0" borderId="21" xfId="0" applyFont="1" applyBorder="1" applyAlignment="1">
      <alignment vertical="center"/>
    </xf>
    <xf numFmtId="0" fontId="39" fillId="0" borderId="22" xfId="0" applyFont="1" applyBorder="1" applyAlignment="1">
      <alignment vertical="center"/>
    </xf>
    <xf numFmtId="0" fontId="36" fillId="0" borderId="16" xfId="0" applyFont="1" applyBorder="1" applyAlignment="1">
      <alignment vertical="center"/>
    </xf>
    <xf numFmtId="0" fontId="39" fillId="0" borderId="27" xfId="0" applyFont="1" applyBorder="1" applyAlignment="1">
      <alignment vertical="center"/>
    </xf>
    <xf numFmtId="0" fontId="39" fillId="0" borderId="25" xfId="0" applyFont="1" applyBorder="1" applyAlignment="1">
      <alignment vertical="center"/>
    </xf>
    <xf numFmtId="0" fontId="39" fillId="0" borderId="17" xfId="0" applyFont="1" applyBorder="1" applyAlignment="1">
      <alignment vertical="center"/>
    </xf>
    <xf numFmtId="0" fontId="39" fillId="0" borderId="18" xfId="0" applyFont="1" applyBorder="1" applyAlignment="1">
      <alignment vertical="center"/>
    </xf>
    <xf numFmtId="0" fontId="39" fillId="0" borderId="19" xfId="0" applyFont="1" applyBorder="1" applyAlignment="1">
      <alignment vertical="center"/>
    </xf>
    <xf numFmtId="0" fontId="38" fillId="0" borderId="16" xfId="0" applyFont="1" applyBorder="1" applyAlignment="1">
      <alignment horizontal="center" vertical="center"/>
    </xf>
    <xf numFmtId="0" fontId="51" fillId="0" borderId="23" xfId="0" applyFont="1" applyBorder="1" applyAlignment="1">
      <alignment horizontal="center" vertical="center" wrapText="1"/>
    </xf>
    <xf numFmtId="0" fontId="51" fillId="0" borderId="56" xfId="0" applyFont="1" applyBorder="1" applyAlignment="1">
      <alignment horizontal="center" vertical="center" wrapText="1"/>
    </xf>
    <xf numFmtId="0" fontId="51" fillId="0" borderId="24" xfId="0" applyFont="1" applyBorder="1" applyAlignment="1">
      <alignment horizontal="center" vertical="center" wrapText="1"/>
    </xf>
    <xf numFmtId="0" fontId="38" fillId="0" borderId="21" xfId="0" applyFont="1" applyBorder="1" applyAlignment="1">
      <alignment horizontal="center" vertical="center"/>
    </xf>
    <xf numFmtId="0" fontId="38" fillId="0" borderId="22" xfId="0" applyFont="1" applyBorder="1" applyAlignment="1">
      <alignment horizontal="center" vertical="center"/>
    </xf>
    <xf numFmtId="0" fontId="38" fillId="0" borderId="16" xfId="0" applyFont="1" applyBorder="1" applyAlignment="1">
      <alignment vertical="center"/>
    </xf>
    <xf numFmtId="0" fontId="38" fillId="0" borderId="90" xfId="0" applyFont="1" applyBorder="1" applyAlignment="1">
      <alignment horizontal="left" vertical="center" wrapText="1"/>
    </xf>
    <xf numFmtId="0" fontId="38" fillId="0" borderId="21" xfId="0" applyFont="1" applyBorder="1" applyAlignment="1">
      <alignment horizontal="left" vertical="center" wrapText="1"/>
    </xf>
    <xf numFmtId="0" fontId="38" fillId="0" borderId="22" xfId="0" applyFont="1" applyBorder="1" applyAlignment="1">
      <alignment horizontal="left" vertical="center" wrapText="1"/>
    </xf>
    <xf numFmtId="0" fontId="36" fillId="0" borderId="0" xfId="0" applyFont="1" applyAlignment="1">
      <alignment horizontal="left" vertical="center" wrapText="1"/>
    </xf>
    <xf numFmtId="0" fontId="38" fillId="0" borderId="0" xfId="0" applyFont="1" applyAlignment="1">
      <alignment horizontal="left" vertical="center" wrapText="1"/>
    </xf>
    <xf numFmtId="0" fontId="38" fillId="0" borderId="18" xfId="0" applyFont="1" applyBorder="1" applyAlignment="1">
      <alignment vertical="top" wrapText="1"/>
    </xf>
    <xf numFmtId="0" fontId="39" fillId="0" borderId="18" xfId="0" applyFont="1" applyBorder="1" applyAlignment="1">
      <alignment vertical="top"/>
    </xf>
    <xf numFmtId="49" fontId="38" fillId="0" borderId="16" xfId="0" applyNumberFormat="1" applyFont="1" applyBorder="1" applyAlignment="1">
      <alignment horizontal="center" vertical="center" wrapText="1"/>
    </xf>
    <xf numFmtId="0" fontId="38" fillId="0" borderId="25" xfId="0" applyFont="1" applyBorder="1" applyAlignment="1">
      <alignment horizontal="center" vertical="center" wrapText="1"/>
    </xf>
    <xf numFmtId="0" fontId="38" fillId="0" borderId="28" xfId="0" applyFont="1" applyBorder="1" applyAlignment="1">
      <alignment horizontal="center" vertical="center" wrapText="1"/>
    </xf>
    <xf numFmtId="0" fontId="38" fillId="0" borderId="26" xfId="0" applyFont="1" applyBorder="1" applyAlignment="1">
      <alignment horizontal="center" vertical="center" wrapText="1"/>
    </xf>
    <xf numFmtId="0" fontId="38" fillId="0" borderId="17" xfId="0" applyFont="1" applyBorder="1" applyAlignment="1">
      <alignment horizontal="center" vertical="center" wrapText="1"/>
    </xf>
    <xf numFmtId="0" fontId="38" fillId="0" borderId="19" xfId="0" applyFont="1" applyBorder="1" applyAlignment="1">
      <alignment horizontal="center" vertical="center" wrapText="1"/>
    </xf>
    <xf numFmtId="0" fontId="38" fillId="0" borderId="16" xfId="0" applyFont="1" applyBorder="1" applyAlignment="1">
      <alignment horizontal="center" vertical="center" wrapText="1"/>
    </xf>
    <xf numFmtId="0" fontId="38" fillId="0" borderId="27" xfId="0" applyFont="1" applyBorder="1" applyAlignment="1">
      <alignment vertical="center"/>
    </xf>
    <xf numFmtId="0" fontId="38" fillId="0" borderId="20" xfId="0" applyFont="1" applyBorder="1" applyAlignment="1">
      <alignment horizontal="left" vertical="center" wrapText="1"/>
    </xf>
    <xf numFmtId="0" fontId="38" fillId="0" borderId="0" xfId="0" applyFont="1" applyBorder="1" applyAlignment="1">
      <alignment horizontal="left" vertical="center" wrapText="1"/>
    </xf>
    <xf numFmtId="0" fontId="0" fillId="0" borderId="0" xfId="0" applyFont="1" applyBorder="1" applyAlignment="1">
      <alignment horizontal="left" vertical="center"/>
    </xf>
    <xf numFmtId="0" fontId="32" fillId="0" borderId="0" xfId="0" applyFont="1" applyBorder="1" applyAlignment="1">
      <alignment horizontal="left" vertical="center"/>
    </xf>
    <xf numFmtId="0" fontId="36" fillId="0" borderId="0" xfId="0" applyFont="1" applyBorder="1" applyAlignment="1">
      <alignment horizontal="left" vertical="center"/>
    </xf>
    <xf numFmtId="0" fontId="38" fillId="0" borderId="27" xfId="0" applyFont="1" applyBorder="1" applyAlignment="1">
      <alignment horizontal="left" vertical="center" wrapText="1"/>
    </xf>
    <xf numFmtId="49" fontId="36" fillId="0" borderId="28" xfId="0" applyNumberFormat="1" applyFont="1" applyBorder="1" applyAlignment="1">
      <alignment horizontal="center" vertical="center"/>
    </xf>
    <xf numFmtId="0" fontId="36" fillId="0" borderId="26" xfId="0" applyFont="1" applyBorder="1" applyAlignment="1">
      <alignment horizontal="center" vertical="center"/>
    </xf>
    <xf numFmtId="49" fontId="36" fillId="0" borderId="16" xfId="0" applyNumberFormat="1" applyFont="1" applyBorder="1" applyAlignment="1">
      <alignment horizontal="center" vertical="center" wrapText="1"/>
    </xf>
    <xf numFmtId="0" fontId="36" fillId="0" borderId="25" xfId="0" applyFont="1" applyBorder="1" applyAlignment="1">
      <alignment vertical="center"/>
    </xf>
    <xf numFmtId="0" fontId="36" fillId="0" borderId="28" xfId="0" applyFont="1" applyBorder="1" applyAlignment="1">
      <alignment vertical="center"/>
    </xf>
    <xf numFmtId="0" fontId="36" fillId="0" borderId="26" xfId="0" applyFont="1" applyBorder="1" applyAlignment="1">
      <alignment vertical="center"/>
    </xf>
    <xf numFmtId="0" fontId="38" fillId="0" borderId="23" xfId="0" applyFont="1" applyBorder="1" applyAlignment="1">
      <alignment vertical="center" textRotation="255"/>
    </xf>
    <xf numFmtId="0" fontId="38" fillId="0" borderId="56" xfId="0" applyFont="1" applyBorder="1" applyAlignment="1">
      <alignment vertical="center" textRotation="255"/>
    </xf>
    <xf numFmtId="0" fontId="39" fillId="0" borderId="25" xfId="0" applyFont="1" applyBorder="1" applyAlignment="1">
      <alignment horizontal="center" vertical="center" wrapText="1"/>
    </xf>
    <xf numFmtId="0" fontId="39" fillId="0" borderId="28" xfId="0" applyFont="1" applyBorder="1" applyAlignment="1">
      <alignment horizontal="center" vertical="center" wrapText="1"/>
    </xf>
    <xf numFmtId="0" fontId="39" fillId="0" borderId="26" xfId="0" applyFont="1" applyBorder="1" applyAlignment="1">
      <alignment horizontal="center" vertical="center" wrapText="1"/>
    </xf>
    <xf numFmtId="176" fontId="38" fillId="0" borderId="28" xfId="0" applyNumberFormat="1" applyFont="1" applyBorder="1" applyAlignment="1">
      <alignment horizontal="center" vertical="center"/>
    </xf>
    <xf numFmtId="176" fontId="39" fillId="0" borderId="0" xfId="0" applyNumberFormat="1" applyFont="1" applyAlignment="1">
      <alignment horizontal="center" vertical="center"/>
    </xf>
    <xf numFmtId="176" fontId="39" fillId="0" borderId="26" xfId="0" applyNumberFormat="1" applyFont="1" applyBorder="1" applyAlignment="1">
      <alignment horizontal="center" vertical="center"/>
    </xf>
    <xf numFmtId="0" fontId="36" fillId="0" borderId="25" xfId="0" applyFont="1" applyBorder="1" applyAlignment="1">
      <alignment horizontal="center" vertical="center" wrapText="1"/>
    </xf>
    <xf numFmtId="0" fontId="36" fillId="0" borderId="28" xfId="0" applyFont="1" applyBorder="1" applyAlignment="1">
      <alignment horizontal="center" vertical="center" wrapText="1"/>
    </xf>
    <xf numFmtId="0" fontId="36" fillId="0" borderId="26" xfId="0" applyFont="1" applyBorder="1" applyAlignment="1">
      <alignment horizontal="center" vertical="center" wrapText="1"/>
    </xf>
    <xf numFmtId="0" fontId="36" fillId="0" borderId="17" xfId="0" applyFont="1" applyBorder="1" applyAlignment="1">
      <alignment horizontal="center" vertical="center" wrapText="1"/>
    </xf>
    <xf numFmtId="0" fontId="36" fillId="0" borderId="19" xfId="0" applyFont="1" applyBorder="1" applyAlignment="1">
      <alignment horizontal="center" vertical="center" wrapText="1"/>
    </xf>
    <xf numFmtId="0" fontId="36" fillId="0" borderId="25" xfId="0" applyFont="1" applyBorder="1" applyAlignment="1">
      <alignment horizontal="center" vertical="center"/>
    </xf>
    <xf numFmtId="0" fontId="36" fillId="0" borderId="28" xfId="0" applyFont="1" applyBorder="1" applyAlignment="1">
      <alignment horizontal="center" vertical="center"/>
    </xf>
    <xf numFmtId="0" fontId="36" fillId="0" borderId="17" xfId="0" applyFont="1" applyBorder="1" applyAlignment="1">
      <alignment horizontal="center" vertical="center"/>
    </xf>
    <xf numFmtId="0" fontId="36" fillId="0" borderId="19" xfId="0" applyFont="1" applyBorder="1" applyAlignment="1">
      <alignment horizontal="center" vertical="center"/>
    </xf>
    <xf numFmtId="0" fontId="38" fillId="0" borderId="16" xfId="0" applyFont="1" applyBorder="1" applyAlignment="1">
      <alignment horizontal="left" vertical="center"/>
    </xf>
    <xf numFmtId="0" fontId="38" fillId="0" borderId="27" xfId="0" applyFont="1" applyBorder="1" applyAlignment="1">
      <alignment horizontal="left" vertical="center"/>
    </xf>
    <xf numFmtId="0" fontId="38" fillId="0" borderId="25" xfId="0" applyFont="1" applyBorder="1" applyAlignment="1">
      <alignment horizontal="left" vertical="center"/>
    </xf>
    <xf numFmtId="0" fontId="38" fillId="0" borderId="28" xfId="0" applyFont="1" applyBorder="1" applyAlignment="1">
      <alignment horizontal="left" vertical="center"/>
    </xf>
    <xf numFmtId="0" fontId="38" fillId="0" borderId="0" xfId="0" applyFont="1" applyBorder="1" applyAlignment="1">
      <alignment horizontal="left" vertical="center"/>
    </xf>
    <xf numFmtId="0" fontId="38" fillId="0" borderId="26" xfId="0" applyFont="1" applyBorder="1" applyAlignment="1">
      <alignment horizontal="left" vertical="center"/>
    </xf>
    <xf numFmtId="0" fontId="38" fillId="0" borderId="17" xfId="0" applyFont="1" applyBorder="1" applyAlignment="1">
      <alignment horizontal="left" vertical="center"/>
    </xf>
    <xf numFmtId="0" fontId="38" fillId="0" borderId="18" xfId="0" applyFont="1" applyBorder="1" applyAlignment="1">
      <alignment horizontal="left" vertical="center"/>
    </xf>
    <xf numFmtId="0" fontId="38" fillId="0" borderId="19" xfId="0" applyFont="1" applyBorder="1" applyAlignment="1">
      <alignment horizontal="left" vertical="center"/>
    </xf>
    <xf numFmtId="0" fontId="38" fillId="0" borderId="27" xfId="0" applyFont="1" applyBorder="1" applyAlignment="1">
      <alignment horizontal="center" vertical="center"/>
    </xf>
    <xf numFmtId="0" fontId="38" fillId="0" borderId="25" xfId="0" applyFont="1" applyBorder="1" applyAlignment="1">
      <alignment horizontal="center" vertical="center"/>
    </xf>
    <xf numFmtId="0" fontId="38" fillId="0" borderId="28" xfId="0" applyFont="1" applyBorder="1" applyAlignment="1">
      <alignment horizontal="center" vertical="center"/>
    </xf>
    <xf numFmtId="0" fontId="38" fillId="0" borderId="26" xfId="0" applyFont="1" applyBorder="1" applyAlignment="1">
      <alignment horizontal="center" vertical="center"/>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49" fontId="48" fillId="0" borderId="16" xfId="0" applyNumberFormat="1" applyFont="1" applyBorder="1" applyAlignment="1">
      <alignment horizontal="center" vertical="center" wrapText="1"/>
    </xf>
    <xf numFmtId="49" fontId="48" fillId="0" borderId="25" xfId="0" applyNumberFormat="1" applyFont="1" applyBorder="1" applyAlignment="1">
      <alignment horizontal="center" vertical="center" wrapText="1"/>
    </xf>
    <xf numFmtId="49" fontId="48" fillId="0" borderId="28" xfId="0" applyNumberFormat="1" applyFont="1" applyBorder="1" applyAlignment="1">
      <alignment horizontal="center" vertical="center" wrapText="1"/>
    </xf>
    <xf numFmtId="49" fontId="48" fillId="0" borderId="26" xfId="0" applyNumberFormat="1" applyFont="1" applyBorder="1" applyAlignment="1">
      <alignment horizontal="center" vertical="center" wrapText="1"/>
    </xf>
    <xf numFmtId="49" fontId="48" fillId="0" borderId="17" xfId="0" applyNumberFormat="1" applyFont="1" applyBorder="1" applyAlignment="1">
      <alignment horizontal="center" vertical="center" wrapText="1"/>
    </xf>
    <xf numFmtId="49" fontId="48" fillId="0" borderId="19" xfId="0" applyNumberFormat="1" applyFont="1" applyBorder="1" applyAlignment="1">
      <alignment horizontal="center" vertical="center" wrapText="1"/>
    </xf>
    <xf numFmtId="0" fontId="38" fillId="0" borderId="20" xfId="0" applyFont="1" applyBorder="1" applyAlignment="1">
      <alignment horizontal="center" vertical="top"/>
    </xf>
    <xf numFmtId="0" fontId="38" fillId="0" borderId="21" xfId="0" applyFont="1" applyBorder="1" applyAlignment="1">
      <alignment horizontal="center" vertical="top"/>
    </xf>
    <xf numFmtId="0" fontId="38" fillId="0" borderId="22" xfId="0" applyFont="1" applyBorder="1" applyAlignment="1">
      <alignment horizontal="center" vertical="top"/>
    </xf>
    <xf numFmtId="0" fontId="46" fillId="0" borderId="0" xfId="0" applyFont="1" applyBorder="1" applyAlignment="1">
      <alignment horizontal="center" vertical="center" wrapText="1"/>
    </xf>
    <xf numFmtId="0" fontId="38" fillId="0" borderId="18" xfId="0" applyFont="1" applyBorder="1" applyAlignment="1">
      <alignment vertical="top"/>
    </xf>
    <xf numFmtId="0" fontId="38" fillId="0" borderId="20" xfId="0" applyFont="1" applyBorder="1" applyAlignment="1">
      <alignment horizontal="center" vertical="top" wrapText="1"/>
    </xf>
    <xf numFmtId="0" fontId="0" fillId="0" borderId="22" xfId="0" applyFont="1" applyBorder="1" applyAlignment="1">
      <alignment horizontal="center" vertical="top"/>
    </xf>
    <xf numFmtId="49" fontId="36" fillId="0" borderId="20" xfId="0" applyNumberFormat="1" applyFont="1" applyBorder="1" applyAlignment="1">
      <alignment horizontal="left" vertical="center"/>
    </xf>
    <xf numFmtId="0" fontId="36" fillId="0" borderId="22" xfId="0" applyFont="1" applyBorder="1" applyAlignment="1">
      <alignment horizontal="left" vertical="center"/>
    </xf>
    <xf numFmtId="0" fontId="55" fillId="0" borderId="20" xfId="0" applyFont="1" applyBorder="1" applyAlignment="1">
      <alignment horizontal="left" vertical="center"/>
    </xf>
    <xf numFmtId="0" fontId="55" fillId="0" borderId="21" xfId="0" applyFont="1" applyBorder="1" applyAlignment="1">
      <alignment horizontal="left" vertical="center"/>
    </xf>
    <xf numFmtId="0" fontId="55" fillId="0" borderId="22" xfId="0" applyFont="1" applyBorder="1" applyAlignment="1">
      <alignment horizontal="left" vertical="center"/>
    </xf>
    <xf numFmtId="49" fontId="30" fillId="0" borderId="15" xfId="0" applyNumberFormat="1" applyFont="1" applyBorder="1" applyAlignment="1">
      <alignment horizontal="center" vertical="center" wrapText="1"/>
    </xf>
    <xf numFmtId="0" fontId="34" fillId="0" borderId="15" xfId="0" applyFont="1" applyBorder="1" applyAlignment="1">
      <alignment horizontal="center" vertical="center"/>
    </xf>
    <xf numFmtId="0" fontId="34" fillId="0" borderId="28" xfId="0" applyFont="1" applyBorder="1" applyAlignment="1">
      <alignment horizontal="left" vertical="center" wrapText="1"/>
    </xf>
    <xf numFmtId="49" fontId="34" fillId="0" borderId="0" xfId="0" applyNumberFormat="1" applyFont="1" applyBorder="1" applyAlignment="1">
      <alignment horizontal="left" vertical="top" wrapText="1"/>
    </xf>
    <xf numFmtId="0" fontId="56" fillId="0" borderId="16" xfId="0" applyFont="1" applyBorder="1" applyAlignment="1">
      <alignment horizontal="left" vertical="center"/>
    </xf>
    <xf numFmtId="0" fontId="56" fillId="0" borderId="27" xfId="0" applyFont="1" applyBorder="1" applyAlignment="1">
      <alignment horizontal="left" vertical="center"/>
    </xf>
    <xf numFmtId="0" fontId="56" fillId="0" borderId="25" xfId="0" applyFont="1" applyBorder="1" applyAlignment="1">
      <alignment horizontal="left" vertical="center"/>
    </xf>
    <xf numFmtId="0" fontId="56" fillId="0" borderId="28" xfId="0" applyFont="1" applyBorder="1" applyAlignment="1">
      <alignment horizontal="left" vertical="center"/>
    </xf>
    <xf numFmtId="0" fontId="56" fillId="0" borderId="0" xfId="0" applyFont="1" applyBorder="1" applyAlignment="1">
      <alignment horizontal="left" vertical="center"/>
    </xf>
    <xf numFmtId="0" fontId="56" fillId="0" borderId="26" xfId="0" applyFont="1" applyBorder="1" applyAlignment="1">
      <alignment horizontal="left" vertical="center"/>
    </xf>
    <xf numFmtId="0" fontId="56" fillId="0" borderId="17" xfId="0" applyFont="1" applyBorder="1" applyAlignment="1">
      <alignment horizontal="left" vertical="center"/>
    </xf>
    <xf numFmtId="0" fontId="56" fillId="0" borderId="18" xfId="0" applyFont="1" applyBorder="1" applyAlignment="1">
      <alignment horizontal="left" vertical="center"/>
    </xf>
    <xf numFmtId="0" fontId="56" fillId="0" borderId="19" xfId="0" applyFont="1" applyBorder="1" applyAlignment="1">
      <alignment horizontal="left" vertical="center"/>
    </xf>
    <xf numFmtId="0" fontId="31" fillId="0" borderId="0" xfId="0" applyFont="1" applyBorder="1" applyAlignment="1">
      <alignment horizontal="center" vertical="center"/>
    </xf>
    <xf numFmtId="177" fontId="30" fillId="0" borderId="23" xfId="0" applyNumberFormat="1" applyFont="1" applyBorder="1" applyAlignment="1">
      <alignment horizontal="center" vertical="center"/>
    </xf>
    <xf numFmtId="0" fontId="37" fillId="0" borderId="23" xfId="0" applyFont="1" applyBorder="1" applyAlignment="1">
      <alignment horizontal="center" vertical="center"/>
    </xf>
    <xf numFmtId="0" fontId="34" fillId="0" borderId="0" xfId="0" applyFont="1" applyBorder="1" applyAlignment="1">
      <alignment horizontal="left" vertical="center" wrapText="1"/>
    </xf>
    <xf numFmtId="49" fontId="30" fillId="0" borderId="16" xfId="0" applyNumberFormat="1" applyFont="1" applyBorder="1" applyAlignment="1">
      <alignment horizontal="center" vertical="center" wrapText="1"/>
    </xf>
    <xf numFmtId="49" fontId="30" fillId="0" borderId="27" xfId="0" applyNumberFormat="1" applyFont="1" applyBorder="1" applyAlignment="1">
      <alignment horizontal="center" vertical="center" wrapText="1"/>
    </xf>
    <xf numFmtId="49" fontId="30" fillId="0" borderId="25" xfId="0" applyNumberFormat="1" applyFont="1" applyBorder="1" applyAlignment="1">
      <alignment horizontal="center" vertical="center" wrapText="1"/>
    </xf>
    <xf numFmtId="49" fontId="30" fillId="0" borderId="28" xfId="0" applyNumberFormat="1" applyFont="1" applyBorder="1" applyAlignment="1">
      <alignment horizontal="center" vertical="center" wrapText="1"/>
    </xf>
    <xf numFmtId="49" fontId="30" fillId="0" borderId="0" xfId="0" applyNumberFormat="1" applyFont="1" applyBorder="1" applyAlignment="1">
      <alignment horizontal="center" vertical="center" wrapText="1"/>
    </xf>
    <xf numFmtId="49" fontId="30" fillId="0" borderId="26" xfId="0" applyNumberFormat="1" applyFont="1" applyBorder="1" applyAlignment="1">
      <alignment horizontal="center" vertical="center" wrapText="1"/>
    </xf>
    <xf numFmtId="49" fontId="30" fillId="0" borderId="17" xfId="0" applyNumberFormat="1" applyFont="1" applyBorder="1" applyAlignment="1">
      <alignment horizontal="center" vertical="center" wrapText="1"/>
    </xf>
    <xf numFmtId="49" fontId="30" fillId="0" borderId="18" xfId="0" applyNumberFormat="1" applyFont="1" applyBorder="1" applyAlignment="1">
      <alignment horizontal="center" vertical="center" wrapText="1"/>
    </xf>
    <xf numFmtId="49" fontId="30" fillId="0" borderId="19" xfId="0" applyNumberFormat="1" applyFont="1" applyBorder="1" applyAlignment="1">
      <alignment horizontal="center" vertical="center" wrapText="1"/>
    </xf>
    <xf numFmtId="0" fontId="57" fillId="0" borderId="16" xfId="0" applyFont="1" applyBorder="1" applyAlignment="1">
      <alignment horizontal="left" vertical="center"/>
    </xf>
    <xf numFmtId="0" fontId="57" fillId="0" borderId="27" xfId="0" applyFont="1" applyBorder="1" applyAlignment="1">
      <alignment horizontal="left" vertical="center"/>
    </xf>
    <xf numFmtId="0" fontId="57" fillId="0" borderId="25" xfId="0" applyFont="1" applyBorder="1" applyAlignment="1">
      <alignment horizontal="left" vertical="center"/>
    </xf>
    <xf numFmtId="0" fontId="57" fillId="0" borderId="28" xfId="0" applyFont="1" applyBorder="1" applyAlignment="1">
      <alignment horizontal="left" vertical="center"/>
    </xf>
    <xf numFmtId="0" fontId="57" fillId="0" borderId="0" xfId="0" applyFont="1" applyBorder="1" applyAlignment="1">
      <alignment horizontal="left" vertical="center"/>
    </xf>
    <xf numFmtId="0" fontId="57" fillId="0" borderId="26" xfId="0" applyFont="1" applyBorder="1" applyAlignment="1">
      <alignment horizontal="left" vertical="center"/>
    </xf>
    <xf numFmtId="0" fontId="57" fillId="0" borderId="17" xfId="0" applyFont="1" applyBorder="1" applyAlignment="1">
      <alignment horizontal="left" vertical="center"/>
    </xf>
    <xf numFmtId="0" fontId="57" fillId="0" borderId="18" xfId="0" applyFont="1" applyBorder="1" applyAlignment="1">
      <alignment horizontal="left" vertical="center"/>
    </xf>
    <xf numFmtId="0" fontId="57" fillId="0" borderId="19" xfId="0" applyFont="1" applyBorder="1" applyAlignment="1">
      <alignment horizontal="left" vertical="center"/>
    </xf>
    <xf numFmtId="58" fontId="30" fillId="0" borderId="15" xfId="0" applyNumberFormat="1" applyFont="1" applyBorder="1" applyAlignment="1">
      <alignment horizontal="center" vertical="center"/>
    </xf>
    <xf numFmtId="0" fontId="39" fillId="0" borderId="0" xfId="0" applyFont="1" applyBorder="1" applyAlignment="1">
      <alignment horizontal="center" vertical="center"/>
    </xf>
    <xf numFmtId="0" fontId="39" fillId="0" borderId="0" xfId="0" applyFont="1" applyBorder="1" applyAlignment="1">
      <alignment vertical="center"/>
    </xf>
    <xf numFmtId="0" fontId="36" fillId="0" borderId="0" xfId="0" applyFont="1" applyBorder="1" applyAlignment="1">
      <alignment vertical="center"/>
    </xf>
    <xf numFmtId="0" fontId="38" fillId="0" borderId="0" xfId="0" applyFont="1" applyBorder="1" applyAlignment="1">
      <alignment vertical="center"/>
    </xf>
    <xf numFmtId="0" fontId="34" fillId="0" borderId="16" xfId="0" applyFont="1" applyBorder="1" applyAlignment="1">
      <alignment horizontal="center" vertical="center" wrapText="1"/>
    </xf>
    <xf numFmtId="0" fontId="34" fillId="0" borderId="25" xfId="0" applyFont="1" applyBorder="1" applyAlignment="1">
      <alignment horizontal="center" vertical="center" wrapText="1"/>
    </xf>
    <xf numFmtId="0" fontId="34" fillId="0" borderId="28" xfId="0" applyFont="1" applyBorder="1" applyAlignment="1">
      <alignment horizontal="center" vertical="center" wrapText="1"/>
    </xf>
    <xf numFmtId="0" fontId="34" fillId="0" borderId="26" xfId="0" applyFont="1" applyBorder="1" applyAlignment="1">
      <alignment horizontal="center" vertical="center" wrapText="1"/>
    </xf>
    <xf numFmtId="0" fontId="34" fillId="0" borderId="17" xfId="0" applyFont="1" applyBorder="1" applyAlignment="1">
      <alignment horizontal="center" vertical="center" wrapText="1"/>
    </xf>
    <xf numFmtId="0" fontId="34" fillId="0" borderId="19" xfId="0" applyFont="1" applyBorder="1" applyAlignment="1">
      <alignment horizontal="center" vertical="center" wrapText="1"/>
    </xf>
    <xf numFmtId="0" fontId="30" fillId="0" borderId="84" xfId="0" applyFont="1" applyBorder="1" applyAlignment="1">
      <alignment horizontal="left" vertical="center" wrapText="1"/>
    </xf>
    <xf numFmtId="0" fontId="29" fillId="0" borderId="84" xfId="0" applyFont="1" applyBorder="1" applyAlignment="1">
      <alignment horizontal="left" vertical="center"/>
    </xf>
    <xf numFmtId="49" fontId="34" fillId="0" borderId="0" xfId="0" applyNumberFormat="1" applyFont="1" applyBorder="1" applyAlignment="1">
      <alignment horizontal="left" vertical="center" wrapText="1"/>
    </xf>
    <xf numFmtId="0" fontId="30" fillId="0" borderId="15" xfId="0" applyNumberFormat="1" applyFont="1" applyBorder="1" applyAlignment="1">
      <alignment horizontal="left" vertical="center" wrapText="1"/>
    </xf>
    <xf numFmtId="176" fontId="38" fillId="0" borderId="16" xfId="0" applyNumberFormat="1" applyFont="1" applyBorder="1" applyAlignment="1">
      <alignment horizontal="center" vertical="center" wrapText="1"/>
    </xf>
    <xf numFmtId="176" fontId="38" fillId="0" borderId="27" xfId="0" applyNumberFormat="1" applyFont="1" applyBorder="1" applyAlignment="1">
      <alignment horizontal="center" vertical="center" wrapText="1"/>
    </xf>
    <xf numFmtId="176" fontId="38" fillId="0" borderId="25" xfId="0" applyNumberFormat="1" applyFont="1" applyBorder="1" applyAlignment="1">
      <alignment horizontal="center" vertical="center" wrapText="1"/>
    </xf>
    <xf numFmtId="176" fontId="38" fillId="0" borderId="28" xfId="0" applyNumberFormat="1" applyFont="1" applyBorder="1" applyAlignment="1">
      <alignment horizontal="center" vertical="center" wrapText="1"/>
    </xf>
    <xf numFmtId="176" fontId="38" fillId="0" borderId="0" xfId="0" applyNumberFormat="1" applyFont="1" applyBorder="1" applyAlignment="1">
      <alignment horizontal="center" vertical="center" wrapText="1"/>
    </xf>
    <xf numFmtId="176" fontId="38" fillId="0" borderId="26" xfId="0" applyNumberFormat="1" applyFont="1" applyBorder="1" applyAlignment="1">
      <alignment horizontal="center" vertical="center" wrapText="1"/>
    </xf>
    <xf numFmtId="176" fontId="38" fillId="0" borderId="17" xfId="0" applyNumberFormat="1" applyFont="1" applyBorder="1" applyAlignment="1">
      <alignment horizontal="center" vertical="center" wrapText="1"/>
    </xf>
    <xf numFmtId="176" fontId="38" fillId="0" borderId="18" xfId="0" applyNumberFormat="1" applyFont="1" applyBorder="1" applyAlignment="1">
      <alignment horizontal="center" vertical="center" wrapText="1"/>
    </xf>
    <xf numFmtId="176" fontId="38" fillId="0" borderId="19" xfId="0" applyNumberFormat="1" applyFont="1" applyBorder="1" applyAlignment="1">
      <alignment horizontal="center" vertical="center" wrapText="1"/>
    </xf>
  </cellXfs>
  <cellStyles count="44">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桁区切り" xfId="42" builtinId="6"/>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標準 2" xfId="43"/>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activeX/_rels/activeX2.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1799"/>
  <ax:ocxPr ax:name="_cy" ax:value="1778"/>
  <ax:ocxPr ax:name="Style" ax:value="11"/>
  <ax:ocxPr ax:name="SubStyle" ax:value="0"/>
  <ax:ocxPr ax:name="Validation" ax:value="2"/>
  <ax:ocxPr ax:name="LineWeight" ax:value="3"/>
  <ax:ocxPr ax:name="Direction" ax:value="0"/>
  <ax:ocxPr ax:name="ShowData" ax:value="1"/>
  <ax:ocxPr ax:name="Value" ax:value=""/>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StreamInit" r:id="rId1"/>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2582"/>
  <ax:ocxPr ax:name="_cy" ax:value="868"/>
  <ax:ocxPr ax:name="Style" ax:value="7"/>
  <ax:ocxPr ax:name="SubStyle" ax:value="-1"/>
  <ax:ocxPr ax:name="Validation" ax:value="0"/>
  <ax:ocxPr ax:name="LineWeight" ax:value="3"/>
  <ax:ocxPr ax:name="Direction" ax:value="0"/>
  <ax:ocxPr ax:name="ShowData" ax:value="1"/>
  <ax:ocxPr ax:name="Value" ax:value="46124"/>
  <ax:ocxPr ax:name="ForeColor" ax:value="0"/>
  <ax:ocxPr ax:name="BackColor" ax:value="16777215"/>
</ax:ocx>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1" Type="http://schemas.openxmlformats.org/officeDocument/2006/relationships/image" Target="../media/image5.emf"/></Relationships>
</file>

<file path=xl/drawings/_rels/drawing6.x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2.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10</xdr:col>
      <xdr:colOff>123824</xdr:colOff>
      <xdr:row>0</xdr:row>
      <xdr:rowOff>85725</xdr:rowOff>
    </xdr:from>
    <xdr:to>
      <xdr:col>13</xdr:col>
      <xdr:colOff>171449</xdr:colOff>
      <xdr:row>5</xdr:row>
      <xdr:rowOff>85725</xdr:rowOff>
    </xdr:to>
    <xdr:sp macro="" textlink="">
      <xdr:nvSpPr>
        <xdr:cNvPr id="3073" name="BarCodeCtrl1" hidden="1">
          <a:extLst>
            <a:ext uri="{63B3BB69-23CF-44E3-9099-C40C66FF867C}">
              <a14:compatExt xmlns:a14="http://schemas.microsoft.com/office/drawing/2010/main" spid="_x0000_s3073"/>
            </a:ext>
            <a:ext uri="{FF2B5EF4-FFF2-40B4-BE49-F238E27FC236}">
              <a16:creationId xmlns:a16="http://schemas.microsoft.com/office/drawing/2014/main" id="{00000000-0008-0000-0000-0000010C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1</xdr:col>
          <xdr:colOff>412750</xdr:colOff>
          <xdr:row>0</xdr:row>
          <xdr:rowOff>0</xdr:rowOff>
        </xdr:from>
        <xdr:to>
          <xdr:col>4</xdr:col>
          <xdr:colOff>571500</xdr:colOff>
          <xdr:row>5</xdr:row>
          <xdr:rowOff>57150</xdr:rowOff>
        </xdr:to>
        <xdr:sp macro="" textlink="">
          <xdr:nvSpPr>
            <xdr:cNvPr id="1025" name="BarCodeCtrl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165100</xdr:colOff>
          <xdr:row>44</xdr:row>
          <xdr:rowOff>107950</xdr:rowOff>
        </xdr:from>
        <xdr:to>
          <xdr:col>2</xdr:col>
          <xdr:colOff>1543050</xdr:colOff>
          <xdr:row>50</xdr:row>
          <xdr:rowOff>38100</xdr:rowOff>
        </xdr:to>
        <xdr:sp macro="" textlink="">
          <xdr:nvSpPr>
            <xdr:cNvPr id="1029" name="BarCodeCtrl2"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44</xdr:row>
          <xdr:rowOff>107950</xdr:rowOff>
        </xdr:from>
        <xdr:to>
          <xdr:col>8</xdr:col>
          <xdr:colOff>266700</xdr:colOff>
          <xdr:row>50</xdr:row>
          <xdr:rowOff>247650</xdr:rowOff>
        </xdr:to>
        <xdr:sp macro="" textlink="">
          <xdr:nvSpPr>
            <xdr:cNvPr id="1032" name="BarCodeCtrl3"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33</xdr:col>
      <xdr:colOff>161925</xdr:colOff>
      <xdr:row>2</xdr:row>
      <xdr:rowOff>114300</xdr:rowOff>
    </xdr:from>
    <xdr:ext cx="704295" cy="275717"/>
    <xdr:sp macro="" textlink="">
      <xdr:nvSpPr>
        <xdr:cNvPr id="2" name="テキスト ボックス 1">
          <a:extLst>
            <a:ext uri="{FF2B5EF4-FFF2-40B4-BE49-F238E27FC236}">
              <a16:creationId xmlns:a16="http://schemas.microsoft.com/office/drawing/2014/main" id="{00000000-0008-0000-0200-000002000000}"/>
            </a:ext>
          </a:extLst>
        </xdr:cNvPr>
        <xdr:cNvSpPr txBox="1"/>
      </xdr:nvSpPr>
      <xdr:spPr>
        <a:xfrm>
          <a:off x="6762750" y="476250"/>
          <a:ext cx="704295" cy="2757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様式第２</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14</xdr:col>
      <xdr:colOff>9525</xdr:colOff>
      <xdr:row>50</xdr:row>
      <xdr:rowOff>19050</xdr:rowOff>
    </xdr:from>
    <xdr:to>
      <xdr:col>14</xdr:col>
      <xdr:colOff>114300</xdr:colOff>
      <xdr:row>50</xdr:row>
      <xdr:rowOff>123825</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90975" y="7191375"/>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32</xdr:col>
      <xdr:colOff>180975</xdr:colOff>
      <xdr:row>2</xdr:row>
      <xdr:rowOff>95250</xdr:rowOff>
    </xdr:from>
    <xdr:ext cx="704295" cy="275717"/>
    <xdr:sp macro="" textlink="">
      <xdr:nvSpPr>
        <xdr:cNvPr id="2" name="テキスト ボックス 1">
          <a:extLst>
            <a:ext uri="{FF2B5EF4-FFF2-40B4-BE49-F238E27FC236}">
              <a16:creationId xmlns:a16="http://schemas.microsoft.com/office/drawing/2014/main" id="{00000000-0008-0000-0400-000002000000}"/>
            </a:ext>
          </a:extLst>
        </xdr:cNvPr>
        <xdr:cNvSpPr txBox="1"/>
      </xdr:nvSpPr>
      <xdr:spPr>
        <a:xfrm>
          <a:off x="6753225" y="390525"/>
          <a:ext cx="704295" cy="2757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様式第２</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22</xdr:col>
      <xdr:colOff>40220</xdr:colOff>
      <xdr:row>44</xdr:row>
      <xdr:rowOff>52845</xdr:rowOff>
    </xdr:from>
    <xdr:to>
      <xdr:col>22</xdr:col>
      <xdr:colOff>144995</xdr:colOff>
      <xdr:row>44</xdr:row>
      <xdr:rowOff>157620</xdr:rowOff>
    </xdr:to>
    <xdr:pic>
      <xdr:nvPicPr>
        <xdr:cNvPr id="2" name="Picture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0770" y="7558545"/>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32</xdr:col>
      <xdr:colOff>171450</xdr:colOff>
      <xdr:row>2</xdr:row>
      <xdr:rowOff>114300</xdr:rowOff>
    </xdr:from>
    <xdr:ext cx="704295" cy="275717"/>
    <xdr:sp macro="" textlink="">
      <xdr:nvSpPr>
        <xdr:cNvPr id="3" name="テキスト ボックス 2">
          <a:extLst>
            <a:ext uri="{FF2B5EF4-FFF2-40B4-BE49-F238E27FC236}">
              <a16:creationId xmlns:a16="http://schemas.microsoft.com/office/drawing/2014/main" id="{00000000-0008-0000-0800-000003000000}"/>
            </a:ext>
          </a:extLst>
        </xdr:cNvPr>
        <xdr:cNvSpPr txBox="1"/>
      </xdr:nvSpPr>
      <xdr:spPr>
        <a:xfrm>
          <a:off x="6572250" y="419100"/>
          <a:ext cx="704295" cy="2757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様式第２</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22</xdr:col>
      <xdr:colOff>40220</xdr:colOff>
      <xdr:row>44</xdr:row>
      <xdr:rowOff>52845</xdr:rowOff>
    </xdr:from>
    <xdr:to>
      <xdr:col>22</xdr:col>
      <xdr:colOff>144995</xdr:colOff>
      <xdr:row>44</xdr:row>
      <xdr:rowOff>157620</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8860" y="7368045"/>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32</xdr:col>
      <xdr:colOff>171450</xdr:colOff>
      <xdr:row>2</xdr:row>
      <xdr:rowOff>114300</xdr:rowOff>
    </xdr:from>
    <xdr:ext cx="704295" cy="275717"/>
    <xdr:sp macro="" textlink="">
      <xdr:nvSpPr>
        <xdr:cNvPr id="3" name="テキスト ボックス 2">
          <a:extLst>
            <a:ext uri="{FF2B5EF4-FFF2-40B4-BE49-F238E27FC236}">
              <a16:creationId xmlns:a16="http://schemas.microsoft.com/office/drawing/2014/main" id="{00000000-0008-0000-0900-000003000000}"/>
            </a:ext>
          </a:extLst>
        </xdr:cNvPr>
        <xdr:cNvSpPr txBox="1"/>
      </xdr:nvSpPr>
      <xdr:spPr>
        <a:xfrm>
          <a:off x="6511290" y="419100"/>
          <a:ext cx="704295" cy="2757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様式第２</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ntrol" Target="../activeX/activeX2.xml"/><Relationship Id="rId3" Type="http://schemas.openxmlformats.org/officeDocument/2006/relationships/printerSettings" Target="../printerSettings/printerSettings3.bin"/><Relationship Id="rId7" Type="http://schemas.openxmlformats.org/officeDocument/2006/relationships/image" Target="../media/image1.emf"/><Relationship Id="rId12" Type="http://schemas.openxmlformats.org/officeDocument/2006/relationships/comments" Target="../comments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ontrol" Target="../activeX/activeX1.xml"/><Relationship Id="rId11" Type="http://schemas.openxmlformats.org/officeDocument/2006/relationships/image" Target="../media/image3.emf"/><Relationship Id="rId5" Type="http://schemas.openxmlformats.org/officeDocument/2006/relationships/vmlDrawing" Target="../drawings/vmlDrawing1.vml"/><Relationship Id="rId10" Type="http://schemas.openxmlformats.org/officeDocument/2006/relationships/control" Target="../activeX/activeX3.xml"/><Relationship Id="rId4" Type="http://schemas.openxmlformats.org/officeDocument/2006/relationships/drawing" Target="../drawings/drawing1.xml"/><Relationship Id="rId9" Type="http://schemas.openxmlformats.org/officeDocument/2006/relationships/image" Target="../media/image2.emf"/></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BZ60"/>
  <sheetViews>
    <sheetView tabSelected="1" view="pageBreakPreview" zoomScale="53" zoomScaleNormal="100" zoomScaleSheetLayoutView="100" workbookViewId="0">
      <selection activeCell="J13" sqref="J13:P13"/>
    </sheetView>
  </sheetViews>
  <sheetFormatPr defaultColWidth="8.75" defaultRowHeight="13"/>
  <cols>
    <col min="1" max="1" width="8.75" style="1"/>
    <col min="2" max="2" width="12.25" style="1" customWidth="1"/>
    <col min="3" max="3" width="20.75" style="1" customWidth="1"/>
    <col min="4" max="4" width="11.33203125" style="1" customWidth="1"/>
    <col min="5" max="9" width="8.75" style="1"/>
    <col min="10" max="10" width="17.08203125" style="1" bestFit="1" customWidth="1"/>
    <col min="11" max="11" width="6.33203125" style="1" customWidth="1"/>
    <col min="12" max="12" width="11.58203125" style="1" customWidth="1"/>
    <col min="13" max="13" width="10.25" style="1" customWidth="1"/>
    <col min="14" max="17" width="8.75" style="1"/>
    <col min="18" max="18" width="11.25" style="1" bestFit="1" customWidth="1"/>
    <col min="19" max="19" width="8.75" style="1"/>
    <col min="20" max="20" width="12.33203125" style="1" bestFit="1" customWidth="1"/>
    <col min="21" max="21" width="8.75" style="1"/>
    <col min="22" max="22" width="14.75" style="1" bestFit="1" customWidth="1"/>
    <col min="23" max="39" width="8.75" style="1"/>
    <col min="40" max="40" width="12.33203125" style="1" bestFit="1" customWidth="1"/>
    <col min="41" max="16384" width="8.75" style="1"/>
  </cols>
  <sheetData>
    <row r="1" spans="1:78" ht="20.5" customHeight="1">
      <c r="D1" s="317" t="s">
        <v>38</v>
      </c>
      <c r="E1" s="317"/>
      <c r="F1" s="317"/>
      <c r="G1" s="317"/>
      <c r="H1" s="317"/>
      <c r="I1" s="317"/>
      <c r="J1" s="317"/>
      <c r="K1" s="317"/>
      <c r="L1" s="317"/>
      <c r="T1" s="1" t="s">
        <v>1</v>
      </c>
      <c r="U1" s="1" t="s">
        <v>71</v>
      </c>
      <c r="V1" s="1" t="s">
        <v>70</v>
      </c>
      <c r="W1" s="1" t="s">
        <v>204</v>
      </c>
      <c r="X1" s="1" t="s">
        <v>72</v>
      </c>
      <c r="Y1" s="1" t="s">
        <v>2</v>
      </c>
      <c r="Z1" s="1" t="s">
        <v>73</v>
      </c>
      <c r="AA1" s="1" t="s">
        <v>74</v>
      </c>
      <c r="AB1" s="1" t="s">
        <v>7</v>
      </c>
      <c r="AC1" s="1" t="s">
        <v>68</v>
      </c>
      <c r="AD1" s="1" t="s">
        <v>67</v>
      </c>
      <c r="AE1" s="1" t="s">
        <v>75</v>
      </c>
      <c r="AF1" s="1" t="s">
        <v>76</v>
      </c>
      <c r="AJ1" s="1" t="s">
        <v>1</v>
      </c>
      <c r="AK1" s="1" t="s">
        <v>71</v>
      </c>
      <c r="AL1" s="1" t="s">
        <v>70</v>
      </c>
      <c r="AM1" s="1" t="s">
        <v>204</v>
      </c>
      <c r="AN1" s="1" t="s">
        <v>2</v>
      </c>
      <c r="AO1" s="1" t="s">
        <v>73</v>
      </c>
      <c r="AP1" s="1" t="s">
        <v>74</v>
      </c>
      <c r="AQ1" s="1" t="s">
        <v>77</v>
      </c>
      <c r="AR1" s="1" t="s">
        <v>7</v>
      </c>
      <c r="AS1" s="1" t="s">
        <v>68</v>
      </c>
      <c r="AT1" s="1" t="s">
        <v>67</v>
      </c>
      <c r="AU1" s="1" t="s">
        <v>75</v>
      </c>
      <c r="AV1" s="1" t="s">
        <v>76</v>
      </c>
    </row>
    <row r="2" spans="1:78" ht="18">
      <c r="D2" s="317"/>
      <c r="E2" s="317"/>
      <c r="F2" s="317"/>
      <c r="G2" s="317"/>
      <c r="H2" s="317"/>
      <c r="I2" s="317"/>
      <c r="J2" s="317"/>
      <c r="K2" s="317"/>
      <c r="L2" s="317"/>
      <c r="R2" s="1" t="str">
        <f>AS2</f>
        <v>乙川 二郎</v>
      </c>
      <c r="T2" t="s">
        <v>283</v>
      </c>
      <c r="U2" t="s">
        <v>284</v>
      </c>
      <c r="V2" s="308">
        <v>16851</v>
      </c>
      <c r="W2" t="s">
        <v>282</v>
      </c>
      <c r="X2" t="s">
        <v>283</v>
      </c>
      <c r="Y2" t="s">
        <v>285</v>
      </c>
      <c r="Z2" t="s">
        <v>286</v>
      </c>
      <c r="AA2"/>
      <c r="AB2" t="s">
        <v>287</v>
      </c>
      <c r="AC2" t="s">
        <v>288</v>
      </c>
      <c r="AD2">
        <v>6</v>
      </c>
      <c r="AE2">
        <v>200</v>
      </c>
      <c r="AF2" t="s">
        <v>289</v>
      </c>
      <c r="AG2" t="s">
        <v>290</v>
      </c>
      <c r="AH2"/>
      <c r="AI2"/>
      <c r="AJ2" t="s">
        <v>283</v>
      </c>
      <c r="AK2" t="s">
        <v>284</v>
      </c>
      <c r="AL2" s="308">
        <v>16851</v>
      </c>
      <c r="AM2" t="s">
        <v>282</v>
      </c>
      <c r="AN2" t="s">
        <v>285</v>
      </c>
      <c r="AO2"/>
      <c r="AP2"/>
      <c r="AQ2" t="s">
        <v>283</v>
      </c>
      <c r="AR2" t="s">
        <v>287</v>
      </c>
      <c r="AS2" t="s">
        <v>288</v>
      </c>
      <c r="AT2">
        <v>6</v>
      </c>
      <c r="AU2">
        <v>200</v>
      </c>
      <c r="AV2" t="s">
        <v>290</v>
      </c>
      <c r="AW2"/>
      <c r="AX2"/>
      <c r="AY2"/>
      <c r="AZ2"/>
      <c r="BA2">
        <v>0</v>
      </c>
      <c r="BB2">
        <v>0</v>
      </c>
      <c r="BC2">
        <v>0</v>
      </c>
      <c r="BD2">
        <v>0</v>
      </c>
      <c r="BE2">
        <v>0</v>
      </c>
      <c r="BF2"/>
      <c r="BG2"/>
      <c r="BH2"/>
      <c r="BI2"/>
      <c r="BJ2"/>
      <c r="BK2"/>
      <c r="BL2"/>
      <c r="BM2"/>
      <c r="BN2"/>
      <c r="BO2"/>
      <c r="BP2"/>
      <c r="BQ2"/>
      <c r="BR2"/>
      <c r="BS2"/>
      <c r="BT2"/>
      <c r="BU2"/>
      <c r="BV2"/>
      <c r="BW2"/>
      <c r="BX2"/>
      <c r="BY2"/>
      <c r="BZ2"/>
    </row>
    <row r="3" spans="1:78" ht="16">
      <c r="A3" s="2" t="s">
        <v>39</v>
      </c>
      <c r="V3" s="1" t="e">
        <f>DATEVALUE(SUBSTITUTE(SUBSTITUTE(V2," ",""),".","/"))</f>
        <v>#VALUE!</v>
      </c>
      <c r="AL3" s="1" t="e">
        <f>DATEVALUE(SUBSTITUTE(SUBSTITUTE(AL2," ",""),".","/"))</f>
        <v>#VALUE!</v>
      </c>
      <c r="AN3" s="1" t="str">
        <f>"芽室町"&amp;AN2&amp;AO2&amp;"　"&amp;AP2</f>
        <v>芽室町中央二丁目２番地　</v>
      </c>
    </row>
    <row r="4" spans="1:78" ht="16">
      <c r="F4" s="2" t="s">
        <v>40</v>
      </c>
      <c r="V4" s="75"/>
    </row>
    <row r="5" spans="1:78">
      <c r="I5" s="3"/>
      <c r="J5" s="3"/>
      <c r="K5" s="3"/>
      <c r="L5" s="3"/>
      <c r="M5" s="3"/>
      <c r="N5" s="3"/>
      <c r="O5" s="3"/>
      <c r="P5" s="3"/>
    </row>
    <row r="6" spans="1:78" ht="32.5" customHeight="1" thickBot="1">
      <c r="A6" s="43" t="s">
        <v>0</v>
      </c>
      <c r="B6" s="3"/>
      <c r="C6" s="3"/>
      <c r="D6" s="3"/>
      <c r="E6" s="3"/>
      <c r="F6" s="3"/>
      <c r="G6" s="3"/>
      <c r="H6" s="321"/>
      <c r="I6" s="322"/>
      <c r="J6" s="44"/>
      <c r="K6" s="45"/>
      <c r="L6" s="45"/>
      <c r="M6" s="45"/>
      <c r="N6" s="45"/>
      <c r="O6" s="45"/>
      <c r="P6" s="45"/>
      <c r="Q6" s="3"/>
      <c r="R6" s="3"/>
      <c r="T6" s="42"/>
    </row>
    <row r="7" spans="1:78" ht="39.65" customHeight="1">
      <c r="A7" s="377" t="s">
        <v>1</v>
      </c>
      <c r="B7" s="46" t="s">
        <v>5</v>
      </c>
      <c r="C7" s="245" t="str">
        <f>U2</f>
        <v>オツカワ　ジロウ</v>
      </c>
      <c r="D7" s="190"/>
      <c r="E7" s="190" t="s">
        <v>203</v>
      </c>
      <c r="F7" s="190"/>
      <c r="G7" s="191"/>
      <c r="H7" s="335" t="s">
        <v>4</v>
      </c>
      <c r="I7" s="335"/>
      <c r="J7" s="326">
        <f ca="1">TODAY()</f>
        <v>46316</v>
      </c>
      <c r="K7" s="327"/>
      <c r="L7" s="327"/>
      <c r="M7" s="327"/>
      <c r="N7" s="327"/>
      <c r="O7" s="327"/>
      <c r="P7" s="328"/>
    </row>
    <row r="8" spans="1:78" ht="15.65" customHeight="1">
      <c r="A8" s="378"/>
      <c r="B8" s="344"/>
      <c r="C8" s="313" t="str">
        <f>T2</f>
        <v>乙川　二郎</v>
      </c>
      <c r="D8" s="313"/>
      <c r="E8" s="192"/>
      <c r="F8" s="192"/>
      <c r="G8" s="193"/>
      <c r="H8" s="346" t="s">
        <v>3</v>
      </c>
      <c r="I8" s="347"/>
      <c r="J8" s="329">
        <f>V2</f>
        <v>16851</v>
      </c>
      <c r="K8" s="330"/>
      <c r="L8" s="330"/>
      <c r="M8" s="330"/>
      <c r="N8" s="330"/>
      <c r="O8" s="330"/>
      <c r="P8" s="331"/>
    </row>
    <row r="9" spans="1:78" ht="47.5" customHeight="1">
      <c r="A9" s="379"/>
      <c r="B9" s="345"/>
      <c r="C9" s="314"/>
      <c r="D9" s="314"/>
      <c r="E9" s="194"/>
      <c r="F9" s="194"/>
      <c r="G9" s="195"/>
      <c r="H9" s="348"/>
      <c r="I9" s="349"/>
      <c r="J9" s="332"/>
      <c r="K9" s="333"/>
      <c r="L9" s="333"/>
      <c r="M9" s="333"/>
      <c r="N9" s="333"/>
      <c r="O9" s="333"/>
      <c r="P9" s="334"/>
    </row>
    <row r="10" spans="1:78" ht="55.9" customHeight="1" thickBot="1">
      <c r="A10" s="18" t="s">
        <v>2</v>
      </c>
      <c r="B10" s="318" t="str">
        <f>AF2</f>
        <v xml:space="preserve">芽室町中央二丁目２番地 </v>
      </c>
      <c r="C10" s="319"/>
      <c r="D10" s="319"/>
      <c r="E10" s="319"/>
      <c r="F10" s="319"/>
      <c r="G10" s="319"/>
      <c r="H10" s="319"/>
      <c r="I10" s="319"/>
      <c r="J10" s="319"/>
      <c r="K10" s="319"/>
      <c r="L10" s="319"/>
      <c r="M10" s="319"/>
      <c r="N10" s="319"/>
      <c r="O10" s="319"/>
      <c r="P10" s="320"/>
    </row>
    <row r="11" spans="1:78" ht="18" customHeight="1"/>
    <row r="12" spans="1:78" ht="20.5" customHeight="1" thickBot="1">
      <c r="A12" s="19" t="s">
        <v>6</v>
      </c>
      <c r="L12" s="3"/>
    </row>
    <row r="13" spans="1:78" ht="42" customHeight="1">
      <c r="A13" s="377" t="s">
        <v>1</v>
      </c>
      <c r="B13" s="22" t="s">
        <v>69</v>
      </c>
      <c r="C13" s="375" t="str">
        <f>IF(ISBLANK(AK2),"",AK2)</f>
        <v>オツカワ　ジロウ</v>
      </c>
      <c r="D13" s="375"/>
      <c r="E13" s="375"/>
      <c r="F13" s="375"/>
      <c r="G13" s="376"/>
      <c r="H13" s="336" t="s">
        <v>46</v>
      </c>
      <c r="I13" s="335"/>
      <c r="J13" s="323" t="str">
        <f>IF(EXACT(C7,C13),"本人","本人・夫婦・子・父母・祖父母・孫・その他(　　　　　　　　)")</f>
        <v>本人</v>
      </c>
      <c r="K13" s="324"/>
      <c r="L13" s="324"/>
      <c r="M13" s="324"/>
      <c r="N13" s="324"/>
      <c r="O13" s="324"/>
      <c r="P13" s="325"/>
    </row>
    <row r="14" spans="1:78" ht="16.899999999999999" customHeight="1">
      <c r="A14" s="393"/>
      <c r="B14" s="396" t="s">
        <v>8</v>
      </c>
      <c r="C14" s="313" t="str">
        <f>IF(ISBLANK(AJ2),"",AJ2)</f>
        <v>乙川　二郎</v>
      </c>
      <c r="D14" s="313"/>
      <c r="E14" s="313"/>
      <c r="F14" s="313"/>
      <c r="G14" s="400"/>
      <c r="H14" s="340" t="s">
        <v>35</v>
      </c>
      <c r="I14" s="341"/>
      <c r="J14" s="329">
        <f>IF(ISERR(AL2),"",AL2)</f>
        <v>16851</v>
      </c>
      <c r="K14" s="330"/>
      <c r="L14" s="330"/>
      <c r="M14" s="330"/>
      <c r="N14" s="330"/>
      <c r="O14" s="330"/>
      <c r="P14" s="331"/>
    </row>
    <row r="15" spans="1:78" ht="43.9" customHeight="1">
      <c r="A15" s="394"/>
      <c r="B15" s="397"/>
      <c r="C15" s="314"/>
      <c r="D15" s="314"/>
      <c r="E15" s="314"/>
      <c r="F15" s="314"/>
      <c r="G15" s="401"/>
      <c r="H15" s="342"/>
      <c r="I15" s="343"/>
      <c r="J15" s="332"/>
      <c r="K15" s="333"/>
      <c r="L15" s="333"/>
      <c r="M15" s="333"/>
      <c r="N15" s="333"/>
      <c r="O15" s="333"/>
      <c r="P15" s="334"/>
    </row>
    <row r="16" spans="1:78" ht="27" customHeight="1">
      <c r="A16" s="391" t="s">
        <v>2</v>
      </c>
      <c r="B16" s="24" t="s">
        <v>42</v>
      </c>
      <c r="C16" s="405" t="str">
        <f>IF(ISBLANK(AN2),"",AN3)</f>
        <v>芽室町中央二丁目２番地　</v>
      </c>
      <c r="D16" s="405"/>
      <c r="E16" s="405"/>
      <c r="F16" s="405"/>
      <c r="G16" s="405"/>
      <c r="H16" s="405"/>
      <c r="I16" s="405"/>
      <c r="J16" s="315" t="s">
        <v>41</v>
      </c>
      <c r="K16" s="315"/>
      <c r="L16" s="406" t="s">
        <v>60</v>
      </c>
      <c r="M16" s="309" t="str">
        <f>IF(OR(ISBLANK(AQ2),AQ2=0),"",AQ2)</f>
        <v>乙川　二郎</v>
      </c>
      <c r="N16" s="309"/>
      <c r="O16" s="309"/>
      <c r="P16" s="310"/>
    </row>
    <row r="17" spans="1:32" ht="27" customHeight="1">
      <c r="A17" s="379"/>
      <c r="B17" s="23" t="s">
        <v>43</v>
      </c>
      <c r="C17" s="395"/>
      <c r="D17" s="395"/>
      <c r="E17" s="395"/>
      <c r="F17" s="395"/>
      <c r="G17" s="395"/>
      <c r="H17" s="395"/>
      <c r="I17" s="395"/>
      <c r="J17" s="316"/>
      <c r="K17" s="316"/>
      <c r="L17" s="407"/>
      <c r="M17" s="311"/>
      <c r="N17" s="311"/>
      <c r="O17" s="311"/>
      <c r="P17" s="312"/>
    </row>
    <row r="18" spans="1:32" ht="19.149999999999999" customHeight="1">
      <c r="A18" s="391" t="s">
        <v>7</v>
      </c>
      <c r="B18" s="398" t="s">
        <v>44</v>
      </c>
      <c r="C18" s="399"/>
      <c r="D18" s="399"/>
      <c r="E18" s="399"/>
      <c r="F18" s="399"/>
      <c r="G18" s="399"/>
      <c r="H18" s="399"/>
      <c r="I18" s="399"/>
      <c r="J18" s="315" t="s">
        <v>45</v>
      </c>
      <c r="K18" s="315"/>
      <c r="L18" s="406" t="s">
        <v>60</v>
      </c>
      <c r="M18" s="309" t="str">
        <f>IF(ISBLANK(AS2),"",AS2)</f>
        <v>乙川 二郎</v>
      </c>
      <c r="N18" s="309"/>
      <c r="O18" s="309"/>
      <c r="P18" s="310"/>
    </row>
    <row r="19" spans="1:32" ht="42" customHeight="1">
      <c r="A19" s="379"/>
      <c r="B19" s="74" t="s">
        <v>61</v>
      </c>
      <c r="C19" s="395" t="str">
        <f>IF(ISBLANK(AR2),"",AR2)</f>
        <v>サンプル県サンプル市中央二丁目２番地</v>
      </c>
      <c r="D19" s="395"/>
      <c r="E19" s="395"/>
      <c r="F19" s="395"/>
      <c r="G19" s="395"/>
      <c r="H19" s="395"/>
      <c r="I19" s="395"/>
      <c r="J19" s="316"/>
      <c r="K19" s="316"/>
      <c r="L19" s="407"/>
      <c r="M19" s="311"/>
      <c r="N19" s="311"/>
      <c r="O19" s="311"/>
      <c r="P19" s="312"/>
    </row>
    <row r="20" spans="1:32" ht="45" customHeight="1" thickBot="1">
      <c r="A20" s="49" t="s">
        <v>49</v>
      </c>
      <c r="B20" s="402" t="s">
        <v>63</v>
      </c>
      <c r="C20" s="403"/>
      <c r="D20" s="403"/>
      <c r="E20" s="403"/>
      <c r="F20" s="403"/>
      <c r="G20" s="403"/>
      <c r="H20" s="403"/>
      <c r="I20" s="403"/>
      <c r="J20" s="403"/>
      <c r="K20" s="403"/>
      <c r="L20" s="403"/>
      <c r="M20" s="403"/>
      <c r="N20" s="403"/>
      <c r="O20" s="403"/>
      <c r="P20" s="404"/>
    </row>
    <row r="21" spans="1:32" ht="17.5" customHeight="1">
      <c r="A21" s="358"/>
      <c r="B21" s="359"/>
      <c r="C21" s="359"/>
      <c r="D21" s="359"/>
      <c r="E21" s="359"/>
      <c r="F21" s="359"/>
      <c r="G21" s="359"/>
      <c r="H21" s="359"/>
      <c r="I21" s="359"/>
      <c r="J21" s="359"/>
      <c r="K21" s="359"/>
      <c r="L21" s="359"/>
      <c r="M21" s="359"/>
      <c r="N21" s="359"/>
      <c r="O21" s="359"/>
      <c r="P21" s="359"/>
    </row>
    <row r="22" spans="1:32" ht="19" thickBot="1">
      <c r="A22" s="19" t="s">
        <v>22</v>
      </c>
      <c r="G22" s="51" t="s">
        <v>64</v>
      </c>
      <c r="AA22" s="1" t="s">
        <v>208</v>
      </c>
    </row>
    <row r="23" spans="1:32" ht="33" customHeight="1">
      <c r="A23" s="377" t="s">
        <v>12</v>
      </c>
      <c r="B23" s="69" t="s">
        <v>9</v>
      </c>
      <c r="C23" s="13"/>
      <c r="D23" s="210">
        <v>200</v>
      </c>
      <c r="E23" s="218"/>
      <c r="F23" s="47" t="s">
        <v>37</v>
      </c>
      <c r="G23" s="52"/>
      <c r="I23" s="360" t="s">
        <v>56</v>
      </c>
      <c r="J23" s="26" t="s">
        <v>24</v>
      </c>
      <c r="K23" s="27"/>
      <c r="L23" s="28"/>
      <c r="M23" s="210">
        <v>200</v>
      </c>
      <c r="N23" s="408"/>
      <c r="O23" s="409"/>
      <c r="P23" s="15" t="s">
        <v>37</v>
      </c>
      <c r="AA23" s="1" t="str">
        <f>IF(E23&gt;=1,"100000001000"&amp;CHAR(13)&amp;"*"&amp;E23&amp;CHAR(13),"")</f>
        <v/>
      </c>
      <c r="AB23" s="42" t="str">
        <f>IF(G23&gt;=1,"100000009000"&amp;CHAR(13)&amp;"*"&amp;G23&amp;CHAR(13),"")</f>
        <v/>
      </c>
      <c r="AF23" s="1" t="str">
        <f>IF(N23&gt;=1,"110000003000"&amp;CHAR(13)&amp;"*"&amp;N23&amp;CHAR(13),"")</f>
        <v/>
      </c>
    </row>
    <row r="24" spans="1:32" ht="33" customHeight="1">
      <c r="A24" s="378"/>
      <c r="B24" s="8" t="s">
        <v>10</v>
      </c>
      <c r="C24" s="6"/>
      <c r="D24" s="211">
        <v>200</v>
      </c>
      <c r="E24" s="219"/>
      <c r="F24" s="53" t="s">
        <v>37</v>
      </c>
      <c r="G24" s="54"/>
      <c r="I24" s="361"/>
      <c r="J24" s="29" t="s">
        <v>26</v>
      </c>
      <c r="K24" s="70"/>
      <c r="L24" s="68"/>
      <c r="M24" s="211">
        <v>200</v>
      </c>
      <c r="N24" s="410"/>
      <c r="O24" s="411"/>
      <c r="P24" s="16" t="s">
        <v>37</v>
      </c>
      <c r="AA24" s="1" t="str">
        <f>IF(E24&gt;=1,"100000002000"&amp;CHAR(13)&amp;"*"&amp;E24&amp;CHAR(13),"")</f>
        <v/>
      </c>
      <c r="AB24" s="1" t="str">
        <f>IF(G24&gt;=1,"100000010000"&amp;CHAR(13)&amp;"*"&amp;G24&amp;CHAR(13),"")</f>
        <v/>
      </c>
      <c r="AF24" s="1" t="str">
        <f>IF(N24&gt;=1,"110000002000"&amp;CHAR(13)&amp;"*"&amp;N24&amp;CHAR(13),"")</f>
        <v/>
      </c>
    </row>
    <row r="25" spans="1:32" ht="33" customHeight="1">
      <c r="A25" s="378"/>
      <c r="B25" s="389" t="s">
        <v>57</v>
      </c>
      <c r="C25" s="390"/>
      <c r="D25" s="211">
        <v>200</v>
      </c>
      <c r="E25" s="219"/>
      <c r="F25" s="53" t="s">
        <v>37</v>
      </c>
      <c r="G25" s="55"/>
      <c r="I25" s="361"/>
      <c r="J25" s="7" t="s">
        <v>29</v>
      </c>
      <c r="K25" s="11"/>
      <c r="L25" s="8"/>
      <c r="M25" s="211">
        <v>400</v>
      </c>
      <c r="N25" s="410"/>
      <c r="O25" s="411"/>
      <c r="P25" s="16" t="s">
        <v>37</v>
      </c>
      <c r="AA25" s="1" t="str">
        <f>IF(E25&gt;=1,"100000003000"&amp;CHAR(13)&amp;"*"&amp;E25&amp;CHAR(13),"")</f>
        <v/>
      </c>
      <c r="AF25" s="1" t="str">
        <f>IF(N25&gt;=1,"110000004000"&amp;CHAR(13)&amp;"*"&amp;N25&amp;CHAR(13),"")</f>
        <v/>
      </c>
    </row>
    <row r="26" spans="1:32" ht="33" customHeight="1">
      <c r="A26" s="378"/>
      <c r="B26" s="389" t="s">
        <v>58</v>
      </c>
      <c r="C26" s="390"/>
      <c r="D26" s="211">
        <v>200</v>
      </c>
      <c r="E26" s="220"/>
      <c r="F26" s="48" t="s">
        <v>37</v>
      </c>
      <c r="G26" s="56"/>
      <c r="I26" s="361"/>
      <c r="J26" s="30" t="s">
        <v>27</v>
      </c>
      <c r="K26" s="31"/>
      <c r="L26" s="32"/>
      <c r="M26" s="211">
        <v>200</v>
      </c>
      <c r="N26" s="223"/>
      <c r="O26" s="412" t="s">
        <v>66</v>
      </c>
      <c r="P26" s="413"/>
      <c r="AA26" s="1" t="str">
        <f>IF(E26&gt;=1,"100000003000"&amp;CHAR(13)&amp;"*"&amp;E26&amp;CHAR(13),"")</f>
        <v/>
      </c>
      <c r="AF26" s="1" t="str">
        <f>IF(N26&gt;=1,"110000005000"&amp;CHAR(13)&amp;"*"&amp;N26&amp;CHAR(13),"")</f>
        <v/>
      </c>
    </row>
    <row r="27" spans="1:32" ht="33" customHeight="1">
      <c r="A27" s="378"/>
      <c r="B27" s="8" t="s">
        <v>11</v>
      </c>
      <c r="C27" s="6"/>
      <c r="D27" s="211">
        <v>200</v>
      </c>
      <c r="E27" s="219"/>
      <c r="F27" s="53" t="s">
        <v>37</v>
      </c>
      <c r="G27" s="57"/>
      <c r="I27" s="361"/>
      <c r="J27" s="67" t="s">
        <v>36</v>
      </c>
      <c r="K27" s="33"/>
      <c r="L27" s="34"/>
      <c r="M27" s="211">
        <v>50</v>
      </c>
      <c r="N27" s="224"/>
      <c r="O27" s="414" t="str">
        <f>IF(N26=0,"",M26*N26+M27*N27)</f>
        <v/>
      </c>
      <c r="P27" s="415"/>
      <c r="AA27" s="1" t="str">
        <f>IF(E27&gt;=1,"100000004000"&amp;CHAR(13)&amp;"*"&amp;E27&amp;CHAR(13),"")</f>
        <v/>
      </c>
      <c r="AF27" s="1" t="str">
        <f>IF(N27&gt;=1,"110000006000"&amp;CHAR(13)&amp;"*"&amp;N27&amp;CHAR(13),"")</f>
        <v/>
      </c>
    </row>
    <row r="28" spans="1:32" ht="33" customHeight="1">
      <c r="A28" s="378"/>
      <c r="B28" s="383" t="s">
        <v>65</v>
      </c>
      <c r="C28" s="384"/>
      <c r="D28" s="352" t="str">
        <f>CHAR(10)&amp;IF(BB2=0,"■不要　□必要","□不要　■必要")&amp;CHAR(10)&amp;IF(BC2=0,"■不要　□必要","□不要　■必要")&amp;CHAR(10)&amp;IF(BD2=0,"■不要　□必要","□不要　■必要")&amp;CHAR(10)&amp;IF(BE2=0,"■不要　□必要","□不要　■必要")&amp;CHAR(10)</f>
        <v xml:space="preserve">
■不要　□必要
■不要　□必要
■不要　□必要
■不要　□必要
</v>
      </c>
      <c r="E28" s="352"/>
      <c r="F28" s="352"/>
      <c r="G28" s="353"/>
      <c r="I28" s="361"/>
      <c r="J28" s="67" t="s">
        <v>30</v>
      </c>
      <c r="K28" s="33"/>
      <c r="L28" s="34"/>
      <c r="M28" s="216">
        <v>200</v>
      </c>
      <c r="N28" s="410"/>
      <c r="O28" s="411"/>
      <c r="P28" s="16" t="s">
        <v>37</v>
      </c>
      <c r="AF28" s="1" t="str">
        <f>IF(N28&gt;=1,"110000008000"&amp;CHAR(13)&amp;"*"&amp;N28&amp;CHAR(13),"")</f>
        <v/>
      </c>
    </row>
    <row r="29" spans="1:32" ht="33" customHeight="1">
      <c r="A29" s="378"/>
      <c r="B29" s="385"/>
      <c r="C29" s="386"/>
      <c r="D29" s="354"/>
      <c r="E29" s="354"/>
      <c r="F29" s="354"/>
      <c r="G29" s="355"/>
      <c r="I29" s="361"/>
      <c r="J29" s="9" t="s">
        <v>28</v>
      </c>
      <c r="K29" s="11"/>
      <c r="L29" s="10"/>
      <c r="M29" s="211">
        <v>200</v>
      </c>
      <c r="N29" s="410"/>
      <c r="O29" s="411"/>
      <c r="P29" s="21" t="s">
        <v>37</v>
      </c>
      <c r="AF29" s="1" t="str">
        <f>IF(N29&gt;=1,"110000007000"&amp;CHAR(13)&amp;"*"&amp;N29&amp;CHAR(13),"")</f>
        <v/>
      </c>
    </row>
    <row r="30" spans="1:32" ht="33" customHeight="1" thickBot="1">
      <c r="A30" s="392"/>
      <c r="B30" s="387"/>
      <c r="C30" s="388"/>
      <c r="D30" s="356"/>
      <c r="E30" s="356"/>
      <c r="F30" s="356"/>
      <c r="G30" s="357"/>
      <c r="I30" s="361"/>
      <c r="J30" s="6" t="s">
        <v>207</v>
      </c>
      <c r="K30" s="7"/>
      <c r="L30" s="8"/>
      <c r="M30" s="4" t="s">
        <v>23</v>
      </c>
      <c r="N30" s="410"/>
      <c r="O30" s="411"/>
      <c r="P30" s="16" t="s">
        <v>37</v>
      </c>
    </row>
    <row r="31" spans="1:32" ht="33" customHeight="1">
      <c r="A31" s="360" t="s">
        <v>20</v>
      </c>
      <c r="B31" s="13" t="s">
        <v>13</v>
      </c>
      <c r="C31" s="13"/>
      <c r="D31" s="211">
        <v>450</v>
      </c>
      <c r="E31" s="218"/>
      <c r="F31" s="47" t="s">
        <v>37</v>
      </c>
      <c r="G31" s="60"/>
      <c r="I31" s="361"/>
      <c r="J31" s="6" t="s">
        <v>47</v>
      </c>
      <c r="K31" s="7"/>
      <c r="L31" s="8"/>
      <c r="M31" s="4" t="s">
        <v>23</v>
      </c>
      <c r="N31" s="410"/>
      <c r="O31" s="411"/>
      <c r="P31" s="16" t="s">
        <v>37</v>
      </c>
      <c r="T31" s="1">
        <v>5070424</v>
      </c>
      <c r="AA31" s="1" t="str">
        <f>IF(E31&gt;=1,"101000001000"&amp;CHAR(13)&amp;"*"&amp;E31&amp;CHAR(13),"")</f>
        <v/>
      </c>
      <c r="AB31" s="1" t="str">
        <f>IF(G31&gt;=1,"101000018000"&amp;CHAR(13)&amp;"*"&amp;G31&amp;CHAR(13),"")</f>
        <v/>
      </c>
    </row>
    <row r="32" spans="1:32" ht="33" customHeight="1">
      <c r="A32" s="361"/>
      <c r="B32" s="6" t="s">
        <v>14</v>
      </c>
      <c r="C32" s="6"/>
      <c r="D32" s="211">
        <v>450</v>
      </c>
      <c r="E32" s="219"/>
      <c r="F32" s="53" t="s">
        <v>37</v>
      </c>
      <c r="G32" s="61"/>
      <c r="I32" s="361"/>
      <c r="J32" s="6" t="s">
        <v>59</v>
      </c>
      <c r="K32" s="7"/>
      <c r="L32" s="8"/>
      <c r="M32" s="4" t="s">
        <v>23</v>
      </c>
      <c r="N32" s="410"/>
      <c r="O32" s="411"/>
      <c r="P32" s="16" t="s">
        <v>37</v>
      </c>
      <c r="AA32" s="1" t="str">
        <f>IF(E32&gt;=1,"101000002000"&amp;CHAR(13)&amp;"*"&amp;E32&amp;CHAR(13),"")</f>
        <v/>
      </c>
    </row>
    <row r="33" spans="1:32" ht="33" customHeight="1" thickBot="1">
      <c r="A33" s="361"/>
      <c r="B33" s="6" t="s">
        <v>15</v>
      </c>
      <c r="C33" s="6"/>
      <c r="D33" s="211">
        <v>750</v>
      </c>
      <c r="E33" s="219"/>
      <c r="F33" s="53" t="s">
        <v>37</v>
      </c>
      <c r="G33" s="54"/>
      <c r="I33" s="362"/>
      <c r="J33" s="14" t="s">
        <v>25</v>
      </c>
      <c r="K33" s="40"/>
      <c r="L33" s="41"/>
      <c r="M33" s="214">
        <v>200</v>
      </c>
      <c r="N33" s="420"/>
      <c r="O33" s="421"/>
      <c r="P33" s="17" t="s">
        <v>37</v>
      </c>
      <c r="T33" s="1" t="s">
        <v>213</v>
      </c>
      <c r="AA33" s="1" t="str">
        <f>IF(E33&gt;=1,"101000003000"&amp;CHAR(13)&amp;"*"&amp;E33&amp;CHAR(13),"")</f>
        <v/>
      </c>
      <c r="AB33" s="1" t="str">
        <f>IF(G33&gt;=1,"101000019000"&amp;CHAR(13)&amp;"*"&amp;G33&amp;CHAR(13),"")</f>
        <v/>
      </c>
      <c r="AF33" s="1" t="str">
        <f>IF(N33&gt;=1,"110000001000"&amp;CHAR(13)&amp;"*"&amp;N33&amp;CHAR(13),"")</f>
        <v/>
      </c>
    </row>
    <row r="34" spans="1:32" ht="33" customHeight="1">
      <c r="A34" s="361"/>
      <c r="B34" s="6" t="s">
        <v>16</v>
      </c>
      <c r="C34" s="6"/>
      <c r="D34" s="211">
        <v>750</v>
      </c>
      <c r="E34" s="219"/>
      <c r="F34" s="53" t="s">
        <v>37</v>
      </c>
      <c r="G34" s="61"/>
      <c r="I34" s="360" t="s">
        <v>55</v>
      </c>
      <c r="J34" s="9" t="s">
        <v>31</v>
      </c>
      <c r="K34" s="215"/>
      <c r="L34" s="10"/>
      <c r="M34" s="217">
        <v>200</v>
      </c>
      <c r="N34" s="408"/>
      <c r="O34" s="409"/>
      <c r="P34" s="21" t="s">
        <v>37</v>
      </c>
      <c r="AA34" s="1" t="str">
        <f>IF(E34&gt;=1,"101000004000"&amp;CHAR(13)&amp;"*"&amp;E34&amp;CHAR(13),"")</f>
        <v/>
      </c>
      <c r="AF34" s="1" t="str">
        <f>IF(N34&gt;=1,"100000015000"&amp;CHAR(13)&amp;"*"&amp;N34&amp;CHAR(13),"")</f>
        <v/>
      </c>
    </row>
    <row r="35" spans="1:32" ht="33" customHeight="1">
      <c r="A35" s="361"/>
      <c r="B35" s="6" t="s">
        <v>17</v>
      </c>
      <c r="C35" s="6"/>
      <c r="D35" s="212">
        <v>750</v>
      </c>
      <c r="E35" s="219"/>
      <c r="F35" s="53" t="s">
        <v>37</v>
      </c>
      <c r="G35" s="62"/>
      <c r="I35" s="361"/>
      <c r="J35" s="7" t="s">
        <v>32</v>
      </c>
      <c r="K35" s="11"/>
      <c r="L35" s="8"/>
      <c r="M35" s="211">
        <v>200</v>
      </c>
      <c r="N35" s="410"/>
      <c r="O35" s="411"/>
      <c r="P35" s="16" t="s">
        <v>37</v>
      </c>
      <c r="AA35" s="1" t="str">
        <f>IF(E35&gt;=1,"101000005000"&amp;CHAR(13)&amp;"*"&amp;E35&amp;CHAR(13),"")</f>
        <v/>
      </c>
      <c r="AB35" s="1" t="str">
        <f>IF(G35&gt;=1,"101000020000"&amp;CHAR(13)&amp;"*"&amp;G35&amp;CHAR(13),"")</f>
        <v/>
      </c>
      <c r="AF35" s="1" t="str">
        <f>IF(N35&gt;=1,"100000006000"&amp;CHAR(13)&amp;"*"&amp;N35&amp;CHAR(13),"")</f>
        <v/>
      </c>
    </row>
    <row r="36" spans="1:32" ht="33" customHeight="1">
      <c r="A36" s="361"/>
      <c r="B36" s="371" t="s">
        <v>18</v>
      </c>
      <c r="C36" s="372"/>
      <c r="D36" s="212">
        <v>200</v>
      </c>
      <c r="E36" s="219"/>
      <c r="F36" s="53" t="s">
        <v>37</v>
      </c>
      <c r="G36" s="61"/>
      <c r="I36" s="361"/>
      <c r="J36" s="7" t="s">
        <v>33</v>
      </c>
      <c r="K36" s="11"/>
      <c r="L36" s="8"/>
      <c r="M36" s="211">
        <v>350</v>
      </c>
      <c r="N36" s="410"/>
      <c r="O36" s="411"/>
      <c r="P36" s="16" t="s">
        <v>37</v>
      </c>
      <c r="AA36" s="1" t="str">
        <f>IF(E36&gt;=1,"101000006000"&amp;CHAR(13)&amp;"*"&amp;E36&amp;CHAR(13),"")</f>
        <v/>
      </c>
      <c r="AF36" s="1" t="str">
        <f>IF(N36&gt;=1,"101000007000"&amp;CHAR(13)&amp;"*"&amp;N36&amp;CHAR(13),"")</f>
        <v/>
      </c>
    </row>
    <row r="37" spans="1:32" ht="33" customHeight="1">
      <c r="A37" s="361"/>
      <c r="B37" s="6" t="s">
        <v>19</v>
      </c>
      <c r="C37" s="6"/>
      <c r="D37" s="211">
        <v>200</v>
      </c>
      <c r="E37" s="219"/>
      <c r="F37" s="53" t="s">
        <v>37</v>
      </c>
      <c r="G37" s="63"/>
      <c r="I37" s="361"/>
      <c r="J37" s="12" t="s">
        <v>34</v>
      </c>
      <c r="K37" s="25"/>
      <c r="L37" s="10"/>
      <c r="M37" s="225"/>
      <c r="N37" s="416"/>
      <c r="O37" s="417"/>
      <c r="P37" s="21" t="s">
        <v>37</v>
      </c>
      <c r="AA37" s="1" t="str">
        <f>IF(E37&gt;=1,"101000021000"&amp;CHAR(13)&amp;"*"&amp;E37&amp;CHAR(13),"")</f>
        <v/>
      </c>
      <c r="AF37" s="1" t="str">
        <f>IF(N37&gt;=1,"120000001000"&amp;CHAR(13)&amp;"*"&amp;N37&amp;CHAR(13),"")</f>
        <v/>
      </c>
    </row>
    <row r="38" spans="1:32" ht="33" customHeight="1" thickBot="1">
      <c r="A38" s="362"/>
      <c r="B38" s="35" t="s">
        <v>11</v>
      </c>
      <c r="C38" s="35"/>
      <c r="D38" s="213">
        <v>350</v>
      </c>
      <c r="E38" s="221"/>
      <c r="F38" s="58" t="s">
        <v>37</v>
      </c>
      <c r="G38" s="64"/>
      <c r="I38" s="380"/>
      <c r="J38" s="36" t="s">
        <v>50</v>
      </c>
      <c r="K38" s="37"/>
      <c r="L38" s="38"/>
      <c r="M38" s="226"/>
      <c r="N38" s="418"/>
      <c r="O38" s="419"/>
      <c r="P38" s="39" t="s">
        <v>37</v>
      </c>
      <c r="AA38" s="1" t="str">
        <f>IF(E38&gt;=1,"101000010000"&amp;CHAR(13)&amp;"*"&amp;E38&amp;CHAR(13),"")</f>
        <v/>
      </c>
      <c r="AF38" s="1" t="str">
        <f>IF(N38&gt;=1,"120000006000"&amp;CHAR(13)&amp;"*"&amp;M38&amp;CHAR(13)&amp;"*"&amp;N38,"")</f>
        <v/>
      </c>
    </row>
    <row r="39" spans="1:32" ht="33" customHeight="1" thickTop="1">
      <c r="A39" s="360" t="s">
        <v>48</v>
      </c>
      <c r="B39" s="13" t="s">
        <v>21</v>
      </c>
      <c r="C39" s="13"/>
      <c r="D39" s="210">
        <v>200</v>
      </c>
      <c r="E39" s="218"/>
      <c r="F39" s="47" t="s">
        <v>37</v>
      </c>
      <c r="G39" s="65"/>
      <c r="I39" s="381" t="s">
        <v>51</v>
      </c>
      <c r="J39" s="350" t="str">
        <f>IF(SUM(E23:E27,E31:E40,N23:N25,N26,N28:N38,G23:G27,G31:G40)=0,"",SUM(E23:E27,E31:E40,N23:N25,N26,N27,N28:N38,G23:G27,G31:G40))</f>
        <v/>
      </c>
      <c r="K39" s="367" t="s">
        <v>52</v>
      </c>
      <c r="L39" s="369" t="str">
        <f>IF(SUM(R39:Y39)=0,"",SUM(R39:Y39))</f>
        <v/>
      </c>
      <c r="M39" s="363" t="s">
        <v>53</v>
      </c>
      <c r="N39" s="365" t="s">
        <v>54</v>
      </c>
      <c r="P39" s="71"/>
      <c r="R39" s="1">
        <f>IF(ISERR(SUMPRODUCT(D23:D27,E23:E27)),0,SUMPRODUCT(D23:D27,E23:E27))</f>
        <v>0</v>
      </c>
      <c r="S39" s="1">
        <f>IF(ISERR(SUMPRODUCT(D31:D40,E31:E40)),0,SUMPRODUCT(D31:D40,E31:E40))</f>
        <v>0</v>
      </c>
      <c r="T39" s="1">
        <f>IF(ISERR(SUMPRODUCT(M23:M25,N23:N25)),0,SUMPRODUCT(M23:M25,N23:N25))</f>
        <v>0</v>
      </c>
      <c r="U39" s="1">
        <f>IF(ISERR(SUMPRODUCT(M26:M27,N26:N27)),0,SUMPRODUCT(M26:M27,N26:N27))</f>
        <v>0</v>
      </c>
      <c r="V39" s="1">
        <f>IF(ISERR(SUMPRODUCT(M28:M29,N28:N29)),0,SUMPRODUCT(M28:M29,N28:N29))</f>
        <v>0</v>
      </c>
      <c r="W39" s="1">
        <f>IF(ISERR(SUMPRODUCT(M33:M38,N33:N38)),0,SUMPRODUCT(M33:M38,N33:N38))</f>
        <v>0</v>
      </c>
      <c r="X39" s="1">
        <f>IF(ISERR(SUMPRODUCT(D23:D27,G23:G27)),0,SUMPRODUCT(D23:D27,G23:G27))</f>
        <v>0</v>
      </c>
      <c r="Y39" s="1">
        <f>IF(ISERR(SUMPRODUCT(D31:D40,G31:G40)),0,SUMPRODUCT(D31:D40,G31:G40))</f>
        <v>0</v>
      </c>
      <c r="AA39" s="1" t="str">
        <f>IF(E39&gt;=1,"100000005000"&amp;CHAR(13)&amp;"*"&amp;E39&amp;CHAR(13),"")</f>
        <v/>
      </c>
    </row>
    <row r="40" spans="1:32" ht="33" customHeight="1" thickBot="1">
      <c r="A40" s="362"/>
      <c r="B40" s="373" t="s">
        <v>215</v>
      </c>
      <c r="C40" s="374"/>
      <c r="D40" s="214">
        <v>200</v>
      </c>
      <c r="E40" s="222"/>
      <c r="F40" s="59" t="s">
        <v>37</v>
      </c>
      <c r="G40" s="66"/>
      <c r="I40" s="382"/>
      <c r="J40" s="351"/>
      <c r="K40" s="368"/>
      <c r="L40" s="370"/>
      <c r="M40" s="364"/>
      <c r="N40" s="366"/>
      <c r="O40" s="73"/>
      <c r="P40" s="72"/>
      <c r="AA40" s="1" t="str">
        <f>IF(E40&gt;=1,"100000014000"&amp;CHAR(13)&amp;"*"&amp;E40&amp;CHAR(13),"")</f>
        <v/>
      </c>
      <c r="AF40" s="1" t="str">
        <f t="shared" ref="AF40" si="0">IF(N40&gt;=1,"110000007000"&amp;CHAR(13)&amp;"*"&amp;N40&amp;CHAR(13),"")</f>
        <v/>
      </c>
    </row>
    <row r="41" spans="1:32" ht="33" customHeight="1" thickBot="1">
      <c r="H41" s="20"/>
      <c r="P41" s="3"/>
      <c r="AA41" s="1" t="str">
        <f>AA23&amp;AA24&amp;AA25&amp;AA26&amp;AA27&amp;AA31&amp;AA32&amp;AA33&amp;AA34&amp;AA35&amp;AA36&amp;AA37&amp;AA38&amp;AA39&amp;AA40&amp;AB23&amp;AB24&amp;AB31&amp;AB33&amp;AB35</f>
        <v/>
      </c>
      <c r="AF41" s="1" t="str">
        <f>AF23&amp;AF24&amp;AF25&amp;AF26&amp;AF27&amp;AF28&amp;AF29&amp;AF33&amp;AF34&amp;AF35&amp;AF36&amp;AF37&amp;AF38</f>
        <v/>
      </c>
    </row>
    <row r="42" spans="1:32" ht="57" customHeight="1" thickBot="1">
      <c r="A42" s="50" t="s">
        <v>62</v>
      </c>
      <c r="B42" s="337" t="s">
        <v>214</v>
      </c>
      <c r="C42" s="338"/>
      <c r="D42" s="338"/>
      <c r="E42" s="338"/>
      <c r="F42" s="338"/>
      <c r="G42" s="338"/>
      <c r="H42" s="338"/>
      <c r="I42" s="338"/>
      <c r="J42" s="338"/>
      <c r="K42" s="338"/>
      <c r="L42" s="338"/>
      <c r="M42" s="338"/>
      <c r="N42" s="338"/>
      <c r="O42" s="338"/>
      <c r="P42" s="339"/>
    </row>
    <row r="43" spans="1:32" ht="33" customHeight="1">
      <c r="H43" s="20"/>
      <c r="J43" s="3"/>
      <c r="K43" s="3"/>
      <c r="L43" s="3"/>
      <c r="M43" s="3"/>
      <c r="N43" s="3"/>
    </row>
    <row r="44" spans="1:32" ht="33" customHeight="1">
      <c r="H44" s="20"/>
      <c r="I44" s="3"/>
    </row>
    <row r="45" spans="1:32" ht="33" customHeight="1">
      <c r="H45" s="5"/>
      <c r="I45" s="5"/>
    </row>
    <row r="46" spans="1:32" ht="33" customHeight="1">
      <c r="H46" s="5"/>
    </row>
    <row r="47" spans="1:32" ht="33" customHeight="1">
      <c r="H47" s="3"/>
    </row>
    <row r="48" spans="1:32" ht="28.9" customHeight="1"/>
    <row r="49" spans="2:6" ht="28.9" customHeight="1"/>
    <row r="50" spans="2:6" ht="28.9" customHeight="1"/>
    <row r="51" spans="2:6" ht="28.9" customHeight="1"/>
    <row r="52" spans="2:6" ht="28.9" customHeight="1">
      <c r="B52" s="227" t="s">
        <v>209</v>
      </c>
      <c r="F52" s="227" t="s">
        <v>210</v>
      </c>
    </row>
    <row r="53" spans="2:6" ht="28.9" customHeight="1"/>
    <row r="54" spans="2:6" ht="28.9" customHeight="1"/>
    <row r="55" spans="2:6" ht="28.9" customHeight="1"/>
    <row r="56" spans="2:6" ht="28.9" customHeight="1"/>
    <row r="57" spans="2:6" ht="28.9" customHeight="1"/>
    <row r="58" spans="2:6" ht="28.9" customHeight="1"/>
    <row r="59" spans="2:6" ht="28.9" customHeight="1"/>
    <row r="60" spans="2:6" ht="28.9" customHeight="1"/>
  </sheetData>
  <customSheetViews>
    <customSheetView guid="{A35F5B98-9B94-4847-B111-5994565B2C90}" scale="53" showPageBreaks="1" fitToPage="1" printArea="1" view="pageBreakPreview" topLeftCell="B17">
      <selection activeCell="E25" sqref="E25"/>
      <pageMargins left="0.23622047244094491" right="0.23622047244094491" top="0.74803149606299213" bottom="0.74803149606299213" header="0.31496062992125984" footer="0.31496062992125984"/>
      <pageSetup paperSize="9" scale="54" fitToHeight="2" orientation="portrait" r:id="rId1"/>
    </customSheetView>
    <customSheetView guid="{B49FCE62-7203-4C34-A051-738DE884AD97}" scale="53" showPageBreaks="1" fitToPage="1" printArea="1" view="pageBreakPreview" topLeftCell="A28">
      <selection activeCell="K48" sqref="K48"/>
      <pageMargins left="0.25" right="0.25" top="0.75" bottom="0.75" header="0.3" footer="0.3"/>
      <pageSetup paperSize="9" scale="54" fitToHeight="2" orientation="portrait" r:id="rId2"/>
    </customSheetView>
  </customSheetViews>
  <mergeCells count="65">
    <mergeCell ref="N35:O35"/>
    <mergeCell ref="N36:O36"/>
    <mergeCell ref="N37:O37"/>
    <mergeCell ref="N38:O38"/>
    <mergeCell ref="N30:O30"/>
    <mergeCell ref="N31:O31"/>
    <mergeCell ref="N32:O32"/>
    <mergeCell ref="N33:O33"/>
    <mergeCell ref="N34:O34"/>
    <mergeCell ref="N23:O23"/>
    <mergeCell ref="N24:O24"/>
    <mergeCell ref="N25:O25"/>
    <mergeCell ref="N28:O28"/>
    <mergeCell ref="N29:O29"/>
    <mergeCell ref="O26:P26"/>
    <mergeCell ref="O27:P27"/>
    <mergeCell ref="B26:C26"/>
    <mergeCell ref="B25:C25"/>
    <mergeCell ref="A18:A19"/>
    <mergeCell ref="A23:A30"/>
    <mergeCell ref="A13:A15"/>
    <mergeCell ref="C19:I19"/>
    <mergeCell ref="B14:B15"/>
    <mergeCell ref="B18:I18"/>
    <mergeCell ref="C14:G15"/>
    <mergeCell ref="B20:P20"/>
    <mergeCell ref="A16:A17"/>
    <mergeCell ref="J16:K17"/>
    <mergeCell ref="C16:I17"/>
    <mergeCell ref="L18:L19"/>
    <mergeCell ref="L16:L17"/>
    <mergeCell ref="J14:P15"/>
    <mergeCell ref="A31:A38"/>
    <mergeCell ref="A39:A40"/>
    <mergeCell ref="I34:I38"/>
    <mergeCell ref="I39:I40"/>
    <mergeCell ref="B28:C30"/>
    <mergeCell ref="B42:P42"/>
    <mergeCell ref="H14:I15"/>
    <mergeCell ref="B8:B9"/>
    <mergeCell ref="H8:I9"/>
    <mergeCell ref="J39:J40"/>
    <mergeCell ref="D28:G30"/>
    <mergeCell ref="A21:P21"/>
    <mergeCell ref="I23:I33"/>
    <mergeCell ref="M39:M40"/>
    <mergeCell ref="N39:N40"/>
    <mergeCell ref="K39:K40"/>
    <mergeCell ref="L39:L40"/>
    <mergeCell ref="B36:C36"/>
    <mergeCell ref="B40:C40"/>
    <mergeCell ref="C13:G13"/>
    <mergeCell ref="A7:A9"/>
    <mergeCell ref="M18:P19"/>
    <mergeCell ref="M16:P17"/>
    <mergeCell ref="C8:D9"/>
    <mergeCell ref="J18:K19"/>
    <mergeCell ref="D1:L2"/>
    <mergeCell ref="B10:P10"/>
    <mergeCell ref="H6:I6"/>
    <mergeCell ref="J13:P13"/>
    <mergeCell ref="J7:P7"/>
    <mergeCell ref="J8:P9"/>
    <mergeCell ref="H7:I7"/>
    <mergeCell ref="H13:I13"/>
  </mergeCells>
  <phoneticPr fontId="18"/>
  <pageMargins left="0.23622047244094491" right="0.23622047244094491" top="0.74803149606299213" bottom="0.74803149606299213" header="0.31496062992125984" footer="0.31496062992125984"/>
  <pageSetup paperSize="9" scale="52" fitToHeight="2" orientation="portrait" r:id="rId3"/>
  <drawing r:id="rId4"/>
  <legacyDrawing r:id="rId5"/>
  <controls>
    <mc:AlternateContent xmlns:mc="http://schemas.openxmlformats.org/markup-compatibility/2006">
      <mc:Choice Requires="x14">
        <control shapeId="1032" r:id="rId6" name="BarCodeCtrl3">
          <controlPr defaultSize="0" autoLine="0" autoPict="0" linkedCell="AF41" r:id="rId7">
            <anchor moveWithCells="1">
              <from>
                <xdr:col>5</xdr:col>
                <xdr:colOff>19050</xdr:colOff>
                <xdr:row>44</xdr:row>
                <xdr:rowOff>107950</xdr:rowOff>
              </from>
              <to>
                <xdr:col>8</xdr:col>
                <xdr:colOff>266700</xdr:colOff>
                <xdr:row>50</xdr:row>
                <xdr:rowOff>247650</xdr:rowOff>
              </to>
            </anchor>
          </controlPr>
        </control>
      </mc:Choice>
      <mc:Fallback>
        <control shapeId="1032" r:id="rId6" name="BarCodeCtrl3"/>
      </mc:Fallback>
    </mc:AlternateContent>
    <mc:AlternateContent xmlns:mc="http://schemas.openxmlformats.org/markup-compatibility/2006">
      <mc:Choice Requires="x14">
        <control shapeId="1029" r:id="rId8" name="BarCodeCtrl2">
          <controlPr defaultSize="0" autoLine="0" autoPict="0" linkedCell="AA41" r:id="rId9">
            <anchor moveWithCells="1">
              <from>
                <xdr:col>1</xdr:col>
                <xdr:colOff>165100</xdr:colOff>
                <xdr:row>44</xdr:row>
                <xdr:rowOff>107950</xdr:rowOff>
              </from>
              <to>
                <xdr:col>2</xdr:col>
                <xdr:colOff>1543050</xdr:colOff>
                <xdr:row>50</xdr:row>
                <xdr:rowOff>38100</xdr:rowOff>
              </to>
            </anchor>
          </controlPr>
        </control>
      </mc:Choice>
      <mc:Fallback>
        <control shapeId="1029" r:id="rId8" name="BarCodeCtrl2"/>
      </mc:Fallback>
    </mc:AlternateContent>
    <mc:AlternateContent xmlns:mc="http://schemas.openxmlformats.org/markup-compatibility/2006">
      <mc:Choice Requires="x14">
        <control shapeId="1025" r:id="rId10" name="BarCodeCtrl1">
          <controlPr defaultSize="0" autoLine="0" autoPict="0" linkedCell="AT2" r:id="rId11">
            <anchor moveWithCells="1">
              <from>
                <xdr:col>1</xdr:col>
                <xdr:colOff>412750</xdr:colOff>
                <xdr:row>0</xdr:row>
                <xdr:rowOff>0</xdr:rowOff>
              </from>
              <to>
                <xdr:col>4</xdr:col>
                <xdr:colOff>571500</xdr:colOff>
                <xdr:row>5</xdr:row>
                <xdr:rowOff>57150</xdr:rowOff>
              </to>
            </anchor>
          </controlPr>
        </control>
      </mc:Choice>
      <mc:Fallback>
        <control shapeId="1025" r:id="rId10" name="BarCodeCtrl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T38"/>
  <sheetViews>
    <sheetView view="pageBreakPreview" zoomScale="60" zoomScaleNormal="100" workbookViewId="0">
      <selection activeCell="B1" sqref="B1"/>
    </sheetView>
  </sheetViews>
  <sheetFormatPr defaultRowHeight="18"/>
  <cols>
    <col min="1" max="1" width="5.58203125" customWidth="1"/>
    <col min="2" max="19" width="4.58203125" customWidth="1"/>
  </cols>
  <sheetData>
    <row r="1" spans="1:19">
      <c r="A1" s="76"/>
      <c r="B1" s="76"/>
      <c r="C1" s="76"/>
      <c r="D1" s="76"/>
      <c r="E1" s="76"/>
      <c r="F1" s="76"/>
      <c r="G1" s="76"/>
      <c r="H1" s="76"/>
      <c r="I1" s="76"/>
      <c r="J1" s="76"/>
      <c r="K1" s="76"/>
      <c r="L1" s="76"/>
      <c r="M1" s="76"/>
      <c r="N1" s="76"/>
      <c r="O1" s="76"/>
      <c r="P1" s="76"/>
      <c r="Q1" s="76"/>
      <c r="R1" s="76"/>
      <c r="S1" s="76"/>
    </row>
    <row r="2" spans="1:19">
      <c r="A2" s="76"/>
      <c r="B2" s="76" t="s">
        <v>78</v>
      </c>
      <c r="C2" s="76"/>
      <c r="D2" s="76"/>
      <c r="E2" s="76"/>
      <c r="F2" s="76"/>
      <c r="G2" s="76"/>
      <c r="H2" s="76"/>
      <c r="I2" s="76"/>
      <c r="J2" s="76"/>
      <c r="K2" s="76"/>
      <c r="L2" s="76"/>
      <c r="M2" s="76"/>
      <c r="N2" s="76"/>
      <c r="O2" s="76"/>
      <c r="P2" s="76"/>
      <c r="Q2" s="76"/>
      <c r="R2" s="76"/>
      <c r="S2" s="76"/>
    </row>
    <row r="3" spans="1:19">
      <c r="A3" s="76"/>
      <c r="B3" s="76"/>
      <c r="C3" s="76"/>
      <c r="D3" s="76"/>
      <c r="E3" s="447" t="s">
        <v>79</v>
      </c>
      <c r="F3" s="447"/>
      <c r="G3" s="447"/>
      <c r="H3" s="447"/>
      <c r="I3" s="447"/>
      <c r="J3" s="447"/>
      <c r="K3" s="447"/>
      <c r="L3" s="447"/>
      <c r="M3" s="447"/>
      <c r="N3" s="447"/>
      <c r="O3" s="447"/>
      <c r="P3" s="447"/>
      <c r="Q3" s="447"/>
      <c r="R3" s="447"/>
      <c r="S3" s="76"/>
    </row>
    <row r="4" spans="1:19" ht="30" customHeight="1">
      <c r="A4" s="76"/>
      <c r="B4" s="440" t="s">
        <v>80</v>
      </c>
      <c r="C4" s="448"/>
      <c r="D4" s="448"/>
      <c r="E4" s="441"/>
      <c r="F4" s="443" t="s">
        <v>1</v>
      </c>
      <c r="G4" s="444"/>
      <c r="H4" s="450" t="str">
        <f>証明書!AJ2</f>
        <v>乙川　二郎</v>
      </c>
      <c r="I4" s="451"/>
      <c r="J4" s="451"/>
      <c r="K4" s="451"/>
      <c r="L4" s="451"/>
      <c r="M4" s="451"/>
      <c r="N4" s="451"/>
      <c r="O4" s="451"/>
      <c r="P4" s="451"/>
      <c r="Q4" s="451"/>
      <c r="R4" s="451"/>
      <c r="S4" s="452"/>
    </row>
    <row r="5" spans="1:19" ht="30" customHeight="1">
      <c r="A5" s="76"/>
      <c r="B5" s="79"/>
      <c r="C5" s="77"/>
      <c r="D5" s="77"/>
      <c r="E5" s="78"/>
      <c r="F5" s="443" t="s">
        <v>3</v>
      </c>
      <c r="G5" s="444"/>
      <c r="H5" s="435">
        <f>証明書!AL2</f>
        <v>16851</v>
      </c>
      <c r="I5" s="436"/>
      <c r="J5" s="436"/>
      <c r="K5" s="436"/>
      <c r="L5" s="436"/>
      <c r="M5" s="436"/>
      <c r="N5" s="436"/>
      <c r="O5" s="437"/>
      <c r="P5" s="443" t="s">
        <v>85</v>
      </c>
      <c r="Q5" s="449"/>
      <c r="R5" s="443" t="str">
        <f>証明書!AM2</f>
        <v>男</v>
      </c>
      <c r="S5" s="444"/>
    </row>
    <row r="6" spans="1:19" ht="30" customHeight="1">
      <c r="A6" s="76"/>
      <c r="B6" s="80"/>
      <c r="C6" s="81"/>
      <c r="D6" s="81"/>
      <c r="E6" s="82"/>
      <c r="F6" s="440" t="s">
        <v>2</v>
      </c>
      <c r="G6" s="441"/>
      <c r="H6" s="429" t="str">
        <f>"北海道河西郡芽室町"&amp;証明書!AN2</f>
        <v>北海道河西郡芽室町中央二丁目２番地</v>
      </c>
      <c r="I6" s="430"/>
      <c r="J6" s="430"/>
      <c r="K6" s="430"/>
      <c r="L6" s="430"/>
      <c r="M6" s="430"/>
      <c r="N6" s="430"/>
      <c r="O6" s="430"/>
      <c r="P6" s="430"/>
      <c r="Q6" s="430"/>
      <c r="R6" s="430"/>
      <c r="S6" s="431"/>
    </row>
    <row r="7" spans="1:19" ht="30" customHeight="1">
      <c r="A7" s="76"/>
      <c r="B7" s="83"/>
      <c r="C7" s="84"/>
      <c r="D7" s="84"/>
      <c r="E7" s="85"/>
      <c r="F7" s="428"/>
      <c r="G7" s="442"/>
      <c r="H7" s="432"/>
      <c r="I7" s="433"/>
      <c r="J7" s="433"/>
      <c r="K7" s="433"/>
      <c r="L7" s="433"/>
      <c r="M7" s="433"/>
      <c r="N7" s="433"/>
      <c r="O7" s="433"/>
      <c r="P7" s="433"/>
      <c r="Q7" s="433"/>
      <c r="R7" s="433"/>
      <c r="S7" s="434"/>
    </row>
    <row r="8" spans="1:19" ht="10" customHeight="1">
      <c r="A8" s="76"/>
      <c r="B8" s="76"/>
      <c r="C8" s="76"/>
      <c r="D8" s="76"/>
      <c r="E8" s="76"/>
      <c r="F8" s="76"/>
      <c r="G8" s="76"/>
      <c r="H8" s="86"/>
      <c r="I8" s="76"/>
      <c r="J8" s="76"/>
      <c r="K8" s="86"/>
      <c r="L8" s="86"/>
      <c r="M8" s="76"/>
      <c r="N8" s="76"/>
      <c r="O8" s="76"/>
      <c r="P8" s="76"/>
      <c r="Q8" s="76"/>
      <c r="R8" s="76"/>
      <c r="S8" s="76"/>
    </row>
    <row r="9" spans="1:19">
      <c r="A9" s="76"/>
      <c r="B9" s="87" t="s">
        <v>86</v>
      </c>
      <c r="C9" s="88"/>
      <c r="D9" s="88"/>
      <c r="E9" s="87"/>
      <c r="F9" s="86"/>
      <c r="G9" s="86"/>
      <c r="H9" s="86"/>
      <c r="I9" s="88"/>
      <c r="J9" s="87" t="s">
        <v>87</v>
      </c>
      <c r="K9" s="84"/>
      <c r="L9" s="84"/>
      <c r="M9" s="445">
        <f ca="1">TODAY()</f>
        <v>46316</v>
      </c>
      <c r="N9" s="446"/>
      <c r="O9" s="446"/>
      <c r="P9" s="446"/>
      <c r="Q9" s="446"/>
      <c r="R9" s="86"/>
      <c r="S9" s="90"/>
    </row>
    <row r="10" spans="1:19">
      <c r="A10" s="76"/>
      <c r="B10" s="91"/>
      <c r="C10" s="91"/>
      <c r="D10" s="91"/>
      <c r="E10" s="91"/>
      <c r="F10" s="81"/>
      <c r="G10" s="81"/>
      <c r="H10" s="77"/>
      <c r="I10" s="91"/>
      <c r="J10" s="91"/>
      <c r="K10" s="81"/>
      <c r="L10" s="81"/>
      <c r="M10" s="81"/>
      <c r="N10" s="92"/>
      <c r="O10" s="92"/>
      <c r="P10" s="92"/>
      <c r="Q10" s="77"/>
      <c r="R10" s="81"/>
      <c r="S10" s="81"/>
    </row>
    <row r="11" spans="1:19">
      <c r="A11" s="76"/>
      <c r="B11" s="76"/>
      <c r="C11" s="76"/>
      <c r="D11" s="76"/>
      <c r="E11" s="76"/>
      <c r="F11" s="76"/>
      <c r="G11" s="76"/>
      <c r="H11" s="84"/>
      <c r="I11" s="76"/>
      <c r="J11" s="76"/>
      <c r="K11" s="76"/>
      <c r="L11" s="76"/>
      <c r="M11" s="76"/>
      <c r="N11" s="76"/>
      <c r="O11" s="76"/>
      <c r="P11" s="76"/>
      <c r="Q11" s="84"/>
      <c r="R11" s="76"/>
      <c r="S11" s="76"/>
    </row>
    <row r="12" spans="1:19">
      <c r="A12" s="76"/>
      <c r="B12" s="89" t="s">
        <v>88</v>
      </c>
      <c r="C12" s="86"/>
      <c r="D12" s="86"/>
      <c r="E12" s="86"/>
      <c r="F12" s="86"/>
      <c r="G12" s="86"/>
      <c r="H12" s="86"/>
      <c r="I12" s="86"/>
      <c r="J12" s="86"/>
      <c r="K12" s="86"/>
      <c r="L12" s="86"/>
      <c r="M12" s="438">
        <f ca="1">TODAY()</f>
        <v>46316</v>
      </c>
      <c r="N12" s="438"/>
      <c r="O12" s="438"/>
      <c r="P12" s="438"/>
      <c r="Q12" s="438"/>
      <c r="R12" s="438"/>
      <c r="S12" s="439"/>
    </row>
    <row r="13" spans="1:19" ht="7" customHeight="1">
      <c r="A13" s="76"/>
      <c r="B13" s="80"/>
      <c r="C13" s="81"/>
      <c r="D13" s="81"/>
      <c r="E13" s="81"/>
      <c r="F13" s="81"/>
      <c r="G13" s="81"/>
      <c r="H13" s="81"/>
      <c r="I13" s="81"/>
      <c r="J13" s="81"/>
      <c r="K13" s="81"/>
      <c r="L13" s="81"/>
      <c r="M13" s="81"/>
      <c r="N13" s="81"/>
      <c r="O13" s="81"/>
      <c r="P13" s="81"/>
      <c r="Q13" s="81"/>
      <c r="R13" s="81"/>
      <c r="S13" s="82"/>
    </row>
    <row r="14" spans="1:19">
      <c r="A14" s="76"/>
      <c r="B14" s="83" t="s">
        <v>89</v>
      </c>
      <c r="C14" s="84"/>
      <c r="D14" s="84"/>
      <c r="E14" s="84"/>
      <c r="F14" s="84" t="s">
        <v>90</v>
      </c>
      <c r="G14" s="84"/>
      <c r="H14" s="84"/>
      <c r="I14" s="84"/>
      <c r="J14" s="84"/>
      <c r="K14" s="84"/>
      <c r="L14" s="84"/>
      <c r="M14" s="84"/>
      <c r="N14" s="84"/>
      <c r="O14" s="84"/>
      <c r="P14" s="84"/>
      <c r="Q14" s="84"/>
      <c r="R14" s="84"/>
      <c r="S14" s="85"/>
    </row>
    <row r="15" spans="1:19" ht="20.149999999999999" customHeight="1">
      <c r="A15" s="76"/>
      <c r="B15" s="422" t="s">
        <v>91</v>
      </c>
      <c r="C15" s="93" t="s">
        <v>92</v>
      </c>
      <c r="D15" s="94"/>
      <c r="E15" s="81"/>
      <c r="F15" s="81"/>
      <c r="G15" s="77"/>
      <c r="H15" s="78"/>
      <c r="I15" s="93" t="s">
        <v>93</v>
      </c>
      <c r="J15" s="81"/>
      <c r="K15" s="81"/>
      <c r="L15" s="81"/>
      <c r="M15" s="81"/>
      <c r="N15" s="81"/>
      <c r="O15" s="81"/>
      <c r="P15" s="81"/>
      <c r="Q15" s="81"/>
      <c r="R15" s="81"/>
      <c r="S15" s="82"/>
    </row>
    <row r="16" spans="1:19" ht="20.149999999999999" customHeight="1">
      <c r="A16" s="76"/>
      <c r="B16" s="423"/>
      <c r="C16" s="76"/>
      <c r="D16" s="92"/>
      <c r="E16" s="76"/>
      <c r="F16" s="81"/>
      <c r="G16" s="81"/>
      <c r="H16" s="82"/>
      <c r="I16" s="76"/>
      <c r="J16" s="81"/>
      <c r="K16" s="81"/>
      <c r="L16" s="81"/>
      <c r="M16" s="81"/>
      <c r="N16" s="81"/>
      <c r="O16" s="81"/>
      <c r="P16" s="81"/>
      <c r="Q16" s="81"/>
      <c r="R16" s="81"/>
      <c r="S16" s="82"/>
    </row>
    <row r="17" spans="1:20" ht="20.149999999999999" customHeight="1">
      <c r="A17" s="76"/>
      <c r="B17" s="423"/>
      <c r="C17" s="93" t="s">
        <v>94</v>
      </c>
      <c r="D17" s="95"/>
      <c r="E17" s="84"/>
      <c r="F17" s="84"/>
      <c r="G17" s="84"/>
      <c r="H17" s="82"/>
      <c r="I17" s="93" t="s">
        <v>95</v>
      </c>
      <c r="J17" s="84"/>
      <c r="K17" s="84"/>
      <c r="L17" s="84"/>
      <c r="M17" s="84"/>
      <c r="N17" s="84"/>
      <c r="O17" s="84"/>
      <c r="P17" s="84"/>
      <c r="Q17" s="81"/>
      <c r="R17" s="81"/>
      <c r="S17" s="82"/>
    </row>
    <row r="18" spans="1:20" ht="20.149999999999999" customHeight="1">
      <c r="A18" s="76"/>
      <c r="B18" s="423"/>
      <c r="C18" s="76"/>
      <c r="D18" s="92"/>
      <c r="E18" s="76"/>
      <c r="F18" s="81"/>
      <c r="G18" s="93"/>
      <c r="H18" s="82"/>
      <c r="I18" s="93" t="s">
        <v>96</v>
      </c>
      <c r="J18" s="93"/>
      <c r="K18" s="76"/>
      <c r="L18" s="93" t="s">
        <v>81</v>
      </c>
      <c r="M18" s="93"/>
      <c r="N18" s="93"/>
      <c r="O18" s="76"/>
      <c r="P18" s="96" t="s">
        <v>82</v>
      </c>
      <c r="Q18" s="76"/>
      <c r="R18" s="93" t="s">
        <v>83</v>
      </c>
      <c r="S18" s="97" t="s">
        <v>84</v>
      </c>
      <c r="T18" s="98"/>
    </row>
    <row r="19" spans="1:20" ht="20.149999999999999" customHeight="1">
      <c r="A19" s="76"/>
      <c r="B19" s="423"/>
      <c r="C19" s="92"/>
      <c r="D19" s="92"/>
      <c r="E19" s="81"/>
      <c r="F19" s="81"/>
      <c r="G19" s="81"/>
      <c r="H19" s="82"/>
      <c r="I19" s="93" t="s">
        <v>97</v>
      </c>
      <c r="J19" s="81"/>
      <c r="K19" s="81"/>
      <c r="L19" s="81"/>
      <c r="M19" s="81"/>
      <c r="N19" s="81"/>
      <c r="O19" s="81"/>
      <c r="P19" s="81"/>
      <c r="Q19" s="81"/>
      <c r="R19" s="81"/>
      <c r="S19" s="82"/>
    </row>
    <row r="20" spans="1:20" ht="20.149999999999999" customHeight="1">
      <c r="A20" s="76"/>
      <c r="B20" s="423"/>
      <c r="C20" s="92"/>
      <c r="D20" s="92"/>
      <c r="E20" s="81"/>
      <c r="F20" s="81"/>
      <c r="G20" s="81"/>
      <c r="H20" s="82"/>
      <c r="I20" s="81"/>
      <c r="J20" s="81"/>
      <c r="K20" s="81"/>
      <c r="L20" s="81"/>
      <c r="M20" s="81"/>
      <c r="N20" s="81"/>
      <c r="O20" s="81"/>
      <c r="P20" s="81"/>
      <c r="Q20" s="81"/>
      <c r="R20" s="81"/>
      <c r="S20" s="82"/>
    </row>
    <row r="21" spans="1:20" ht="20.149999999999999" customHeight="1">
      <c r="A21" s="76"/>
      <c r="B21" s="424"/>
      <c r="C21" s="95"/>
      <c r="D21" s="95"/>
      <c r="E21" s="84"/>
      <c r="F21" s="84"/>
      <c r="G21" s="84"/>
      <c r="H21" s="82"/>
      <c r="I21" s="99" t="s">
        <v>98</v>
      </c>
      <c r="J21" s="84"/>
      <c r="K21" s="84"/>
      <c r="L21" s="84"/>
      <c r="M21" s="84"/>
      <c r="N21" s="84"/>
      <c r="O21" s="84"/>
      <c r="P21" s="84"/>
      <c r="Q21" s="84"/>
      <c r="R21" s="84"/>
      <c r="S21" s="85"/>
    </row>
    <row r="22" spans="1:20" ht="10" customHeight="1">
      <c r="A22" s="76"/>
      <c r="B22" s="76"/>
      <c r="C22" s="76"/>
      <c r="D22" s="76"/>
      <c r="E22" s="76"/>
      <c r="F22" s="76"/>
      <c r="G22" s="76"/>
      <c r="H22" s="77"/>
      <c r="I22" s="76"/>
      <c r="J22" s="76"/>
      <c r="K22" s="76"/>
      <c r="L22" s="76"/>
      <c r="M22" s="76"/>
      <c r="N22" s="76"/>
      <c r="O22" s="76"/>
      <c r="P22" s="76"/>
      <c r="Q22" s="76"/>
      <c r="R22" s="76"/>
      <c r="S22" s="76"/>
    </row>
    <row r="23" spans="1:20">
      <c r="A23" s="76"/>
      <c r="B23" s="100" t="s">
        <v>99</v>
      </c>
      <c r="C23" s="100"/>
      <c r="D23" s="100"/>
      <c r="E23" s="76"/>
      <c r="F23" s="76"/>
      <c r="G23" s="76"/>
      <c r="H23" s="76"/>
      <c r="I23" s="76"/>
      <c r="J23" s="76"/>
      <c r="K23" s="76"/>
      <c r="L23" s="76"/>
      <c r="M23" s="76"/>
      <c r="N23" s="76"/>
      <c r="O23" s="76"/>
      <c r="P23" s="76"/>
      <c r="Q23" s="76"/>
      <c r="R23" s="76"/>
      <c r="S23" s="76"/>
    </row>
    <row r="24" spans="1:20">
      <c r="A24" s="76"/>
      <c r="B24" s="91" t="s">
        <v>100</v>
      </c>
      <c r="C24" s="93"/>
      <c r="D24" s="81"/>
      <c r="E24" s="81"/>
      <c r="F24" s="81"/>
      <c r="G24" s="81"/>
      <c r="H24" s="81"/>
      <c r="I24" s="81"/>
      <c r="J24" s="81"/>
      <c r="K24" s="81"/>
      <c r="L24" s="81"/>
      <c r="M24" s="81"/>
      <c r="N24" s="81"/>
      <c r="O24" s="81"/>
      <c r="P24" s="81"/>
      <c r="Q24" s="81"/>
      <c r="R24" s="81"/>
      <c r="S24" s="81"/>
    </row>
    <row r="25" spans="1:20" ht="5.15" customHeight="1">
      <c r="A25" s="76"/>
      <c r="B25" s="91"/>
      <c r="C25" s="91"/>
      <c r="D25" s="91"/>
      <c r="E25" s="81"/>
      <c r="F25" s="81"/>
      <c r="G25" s="81"/>
      <c r="H25" s="81"/>
      <c r="I25" s="91"/>
      <c r="J25" s="91"/>
      <c r="K25" s="81"/>
      <c r="L25" s="81"/>
      <c r="M25" s="81"/>
      <c r="N25" s="81"/>
      <c r="O25" s="81"/>
      <c r="P25" s="425"/>
      <c r="Q25" s="425"/>
      <c r="R25" s="425"/>
      <c r="S25" s="425"/>
    </row>
    <row r="26" spans="1:20" ht="25" customHeight="1">
      <c r="A26" s="76"/>
      <c r="B26" s="92" t="s">
        <v>101</v>
      </c>
      <c r="C26" s="91" t="s">
        <v>211</v>
      </c>
      <c r="D26" s="91"/>
      <c r="E26" s="81"/>
      <c r="F26" s="81"/>
      <c r="G26" s="81"/>
      <c r="H26" s="101"/>
      <c r="I26" s="102"/>
      <c r="J26" s="102"/>
      <c r="K26" s="101"/>
      <c r="L26" s="81"/>
      <c r="M26" s="96"/>
      <c r="N26" s="96"/>
      <c r="O26" s="81"/>
      <c r="P26" s="81"/>
      <c r="Q26" s="81"/>
      <c r="R26" s="81"/>
      <c r="S26" s="81"/>
    </row>
    <row r="27" spans="1:20" ht="5.15" customHeight="1">
      <c r="A27" s="76"/>
      <c r="B27" s="91"/>
      <c r="C27" s="91"/>
      <c r="D27" s="91"/>
      <c r="E27" s="81"/>
      <c r="F27" s="81"/>
      <c r="G27" s="81"/>
      <c r="H27" s="81"/>
      <c r="I27" s="81"/>
      <c r="J27" s="81"/>
      <c r="K27" s="81"/>
      <c r="L27" s="81"/>
      <c r="M27" s="81"/>
      <c r="N27" s="81"/>
      <c r="O27" s="81"/>
      <c r="P27" s="81"/>
      <c r="Q27" s="81"/>
      <c r="R27" s="81"/>
      <c r="S27" s="81"/>
    </row>
    <row r="28" spans="1:20" ht="25" customHeight="1">
      <c r="A28" s="76"/>
      <c r="B28" s="92" t="s">
        <v>101</v>
      </c>
      <c r="C28" s="91" t="s">
        <v>212</v>
      </c>
      <c r="D28" s="91"/>
      <c r="E28" s="81"/>
      <c r="F28" s="81"/>
      <c r="G28" s="81"/>
      <c r="H28" s="101"/>
      <c r="I28" s="101"/>
      <c r="J28" s="101"/>
      <c r="K28" s="101"/>
      <c r="L28" s="81"/>
      <c r="M28" s="81"/>
      <c r="N28" s="81"/>
      <c r="O28" s="81"/>
      <c r="P28" s="81"/>
      <c r="Q28" s="81"/>
      <c r="R28" s="81"/>
      <c r="S28" s="81"/>
    </row>
    <row r="29" spans="1:20">
      <c r="A29" s="76"/>
      <c r="B29" s="91"/>
      <c r="C29" s="91"/>
      <c r="D29" s="91"/>
      <c r="E29" s="81"/>
      <c r="F29" s="81"/>
      <c r="G29" s="81"/>
      <c r="H29" s="81"/>
      <c r="I29" s="81"/>
      <c r="J29" s="81"/>
      <c r="K29" s="81"/>
      <c r="L29" s="81"/>
      <c r="M29" s="81"/>
      <c r="N29" s="81"/>
      <c r="O29" s="81"/>
      <c r="P29" s="81"/>
      <c r="Q29" s="81"/>
      <c r="R29" s="81"/>
      <c r="S29" s="81"/>
    </row>
    <row r="30" spans="1:20">
      <c r="A30" s="76"/>
      <c r="B30" s="81"/>
      <c r="C30" s="81"/>
      <c r="D30" s="81"/>
      <c r="E30" s="81"/>
      <c r="F30" s="81"/>
      <c r="G30" s="81"/>
      <c r="H30" s="81"/>
      <c r="I30" s="81"/>
      <c r="J30" s="81"/>
      <c r="K30" s="81"/>
      <c r="L30" s="81"/>
      <c r="M30" s="81"/>
      <c r="N30" s="81"/>
      <c r="O30" s="81"/>
      <c r="P30" s="81"/>
      <c r="Q30" s="81"/>
      <c r="R30" s="81"/>
      <c r="S30" s="81"/>
    </row>
    <row r="31" spans="1:20">
      <c r="A31" s="76"/>
      <c r="B31" s="81"/>
      <c r="C31" s="81"/>
      <c r="D31" s="81"/>
      <c r="E31" s="81"/>
      <c r="F31" s="81"/>
      <c r="G31" s="81"/>
      <c r="H31" s="81"/>
      <c r="I31" s="81"/>
      <c r="J31" s="81"/>
      <c r="K31" s="81"/>
      <c r="L31" s="81"/>
      <c r="M31" s="81"/>
      <c r="N31" s="81"/>
      <c r="O31" s="81"/>
      <c r="P31" s="81"/>
      <c r="Q31" s="81"/>
      <c r="R31" s="81"/>
      <c r="S31" s="81"/>
    </row>
    <row r="32" spans="1:20">
      <c r="A32" s="76"/>
      <c r="B32" s="76" t="s">
        <v>102</v>
      </c>
      <c r="C32" s="76"/>
      <c r="D32" s="76"/>
      <c r="E32" s="76"/>
      <c r="F32" s="76"/>
      <c r="G32" s="76"/>
      <c r="H32" s="76"/>
      <c r="I32" s="76"/>
      <c r="J32" s="76"/>
      <c r="K32" s="76"/>
      <c r="L32" s="76"/>
      <c r="M32" s="76"/>
      <c r="N32" s="76"/>
      <c r="O32" s="76"/>
      <c r="P32" s="76"/>
      <c r="Q32" s="76"/>
      <c r="R32" s="76"/>
      <c r="S32" s="76"/>
    </row>
    <row r="33" spans="1:19" ht="5.15" customHeight="1">
      <c r="A33" s="76"/>
      <c r="B33" s="76"/>
      <c r="C33" s="76"/>
      <c r="D33" s="76"/>
      <c r="E33" s="76"/>
      <c r="F33" s="76"/>
      <c r="G33" s="76"/>
      <c r="H33" s="76"/>
      <c r="I33" s="76"/>
      <c r="J33" s="76"/>
      <c r="K33" s="76"/>
      <c r="L33" s="76"/>
      <c r="M33" s="76"/>
      <c r="N33" s="76"/>
      <c r="O33" s="76"/>
      <c r="P33" s="76"/>
      <c r="Q33" s="76"/>
      <c r="R33" s="76"/>
      <c r="S33" s="76"/>
    </row>
    <row r="34" spans="1:19">
      <c r="A34" s="76"/>
      <c r="B34" s="426" t="s">
        <v>103</v>
      </c>
      <c r="C34" s="79" t="s">
        <v>104</v>
      </c>
      <c r="D34" s="77"/>
      <c r="E34" s="77"/>
      <c r="F34" s="77"/>
      <c r="G34" s="77"/>
      <c r="H34" s="77" t="s">
        <v>105</v>
      </c>
      <c r="I34" s="77"/>
      <c r="J34" s="78"/>
      <c r="K34" s="103" t="s">
        <v>106</v>
      </c>
      <c r="L34" s="77"/>
      <c r="M34" s="78"/>
      <c r="N34" s="76"/>
      <c r="O34" s="89" t="s">
        <v>107</v>
      </c>
      <c r="P34" s="86"/>
      <c r="Q34" s="86"/>
      <c r="R34" s="86"/>
      <c r="S34" s="90"/>
    </row>
    <row r="35" spans="1:19">
      <c r="A35" s="76"/>
      <c r="B35" s="427"/>
      <c r="C35" s="80" t="s">
        <v>108</v>
      </c>
      <c r="D35" s="81"/>
      <c r="E35" s="81"/>
      <c r="F35" s="81"/>
      <c r="G35" s="81"/>
      <c r="H35" s="81" t="s">
        <v>109</v>
      </c>
      <c r="I35" s="81"/>
      <c r="J35" s="82"/>
      <c r="K35" s="93" t="s">
        <v>110</v>
      </c>
      <c r="L35" s="81"/>
      <c r="M35" s="82"/>
      <c r="N35" s="76"/>
      <c r="O35" s="83"/>
      <c r="P35" s="84"/>
      <c r="Q35" s="84"/>
      <c r="R35" s="84"/>
      <c r="S35" s="85"/>
    </row>
    <row r="36" spans="1:19">
      <c r="A36" s="76"/>
      <c r="B36" s="427"/>
      <c r="C36" s="80" t="s">
        <v>111</v>
      </c>
      <c r="D36" s="81"/>
      <c r="E36" s="81"/>
      <c r="F36" s="81"/>
      <c r="G36" s="81"/>
      <c r="H36" s="81" t="s">
        <v>112</v>
      </c>
      <c r="I36" s="81"/>
      <c r="J36" s="82"/>
      <c r="K36" s="93"/>
      <c r="L36" s="81"/>
      <c r="M36" s="82"/>
      <c r="N36" s="76"/>
      <c r="O36" s="76"/>
      <c r="P36" s="76"/>
      <c r="Q36" s="76"/>
      <c r="R36" s="76"/>
      <c r="S36" s="76"/>
    </row>
    <row r="37" spans="1:19">
      <c r="A37" s="76"/>
      <c r="B37" s="427"/>
      <c r="C37" s="80" t="s">
        <v>113</v>
      </c>
      <c r="D37" s="81"/>
      <c r="E37" s="81"/>
      <c r="F37" s="81"/>
      <c r="G37" s="81"/>
      <c r="H37" s="81" t="s">
        <v>114</v>
      </c>
      <c r="I37" s="81"/>
      <c r="J37" s="82"/>
      <c r="K37" s="81"/>
      <c r="L37" s="81"/>
      <c r="M37" s="82"/>
      <c r="N37" s="76"/>
      <c r="O37" s="89" t="s">
        <v>115</v>
      </c>
      <c r="P37" s="86"/>
      <c r="Q37" s="86"/>
      <c r="R37" s="86"/>
      <c r="S37" s="90"/>
    </row>
    <row r="38" spans="1:19">
      <c r="A38" s="76"/>
      <c r="B38" s="428"/>
      <c r="C38" s="83" t="s">
        <v>116</v>
      </c>
      <c r="D38" s="84"/>
      <c r="E38" s="84"/>
      <c r="F38" s="84"/>
      <c r="G38" s="84"/>
      <c r="H38" s="84"/>
      <c r="I38" s="84"/>
      <c r="J38" s="85"/>
      <c r="K38" s="84"/>
      <c r="L38" s="84"/>
      <c r="M38" s="85"/>
      <c r="N38" s="76"/>
      <c r="O38" s="83" t="s">
        <v>202</v>
      </c>
      <c r="P38" s="84"/>
      <c r="Q38" s="84"/>
      <c r="R38" s="84"/>
      <c r="S38" s="85"/>
    </row>
  </sheetData>
  <customSheetViews>
    <customSheetView guid="{A35F5B98-9B94-4847-B111-5994565B2C90}" scale="60" showPageBreaks="1" printArea="1" view="pageBreakPreview">
      <selection activeCell="H8" sqref="H8"/>
      <pageMargins left="0.7" right="0.7" top="0.75" bottom="0.75" header="0.3" footer="0.3"/>
      <pageSetup paperSize="9" scale="95" orientation="portrait" r:id="rId1"/>
    </customSheetView>
    <customSheetView guid="{B49FCE62-7203-4C34-A051-738DE884AD97}" scale="60" showPageBreaks="1" view="pageBreakPreview">
      <selection activeCell="O26" sqref="O26"/>
      <pageMargins left="0.7" right="0.7" top="0.75" bottom="0.75" header="0.3" footer="0.3"/>
      <pageSetup paperSize="9" scale="82" orientation="portrait" r:id="rId2"/>
    </customSheetView>
  </customSheetViews>
  <mergeCells count="15">
    <mergeCell ref="E3:R3"/>
    <mergeCell ref="B4:E4"/>
    <mergeCell ref="F4:G4"/>
    <mergeCell ref="F5:G5"/>
    <mergeCell ref="P5:Q5"/>
    <mergeCell ref="H4:S4"/>
    <mergeCell ref="B15:B21"/>
    <mergeCell ref="P25:S25"/>
    <mergeCell ref="B34:B38"/>
    <mergeCell ref="H6:S7"/>
    <mergeCell ref="H5:O5"/>
    <mergeCell ref="M12:S12"/>
    <mergeCell ref="F6:G7"/>
    <mergeCell ref="R5:S5"/>
    <mergeCell ref="M9:Q9"/>
  </mergeCells>
  <phoneticPr fontId="18"/>
  <pageMargins left="0.7" right="0.7" top="0.75" bottom="0.75" header="0.3" footer="0.3"/>
  <pageSetup paperSize="9" scale="95"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O64"/>
  <sheetViews>
    <sheetView view="pageBreakPreview" zoomScale="60" zoomScaleNormal="100" workbookViewId="0">
      <selection activeCell="U32" sqref="U32"/>
    </sheetView>
  </sheetViews>
  <sheetFormatPr defaultColWidth="9" defaultRowHeight="12"/>
  <cols>
    <col min="1" max="41" width="2.58203125" style="104" customWidth="1"/>
    <col min="42" max="16384" width="9" style="104"/>
  </cols>
  <sheetData>
    <row r="1" spans="1:41" ht="14.25" customHeight="1"/>
    <row r="2" spans="1:41" ht="14.25" customHeight="1"/>
    <row r="3" spans="1:41" ht="14.25" customHeight="1">
      <c r="A3" s="105"/>
      <c r="B3" s="105"/>
      <c r="C3" s="106"/>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8"/>
      <c r="AM3" s="105"/>
      <c r="AN3" s="105"/>
      <c r="AO3" s="105"/>
    </row>
    <row r="4" spans="1:41" ht="14.25" customHeight="1">
      <c r="A4" s="105"/>
      <c r="B4" s="105"/>
      <c r="C4" s="109"/>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10"/>
      <c r="AM4" s="105"/>
      <c r="AN4" s="105"/>
      <c r="AO4" s="105"/>
    </row>
    <row r="5" spans="1:41" ht="14.25" customHeight="1">
      <c r="C5" s="111"/>
      <c r="D5" s="112"/>
      <c r="E5" s="112"/>
      <c r="F5" s="112"/>
      <c r="G5" s="112"/>
      <c r="H5" s="113"/>
      <c r="I5" s="572" t="s">
        <v>117</v>
      </c>
      <c r="J5" s="572"/>
      <c r="K5" s="572"/>
      <c r="L5" s="572"/>
      <c r="M5" s="572"/>
      <c r="N5" s="572"/>
      <c r="O5" s="572"/>
      <c r="P5" s="572"/>
      <c r="Q5" s="572"/>
      <c r="R5" s="572"/>
      <c r="S5" s="572"/>
      <c r="T5" s="572"/>
      <c r="U5" s="572"/>
      <c r="V5" s="572"/>
      <c r="W5" s="572"/>
      <c r="X5" s="572"/>
      <c r="Y5" s="572"/>
      <c r="Z5" s="572"/>
      <c r="AA5" s="572"/>
      <c r="AB5" s="572"/>
      <c r="AC5" s="572"/>
      <c r="AD5" s="572"/>
      <c r="AE5" s="572"/>
      <c r="AF5" s="572"/>
      <c r="AG5" s="113"/>
      <c r="AH5" s="113"/>
      <c r="AI5" s="113"/>
      <c r="AJ5" s="113"/>
      <c r="AK5" s="113"/>
      <c r="AL5" s="114"/>
      <c r="AM5" s="113"/>
      <c r="AN5" s="113"/>
      <c r="AO5" s="105"/>
    </row>
    <row r="6" spans="1:41" ht="14.25" customHeight="1">
      <c r="C6" s="111"/>
      <c r="D6" s="112"/>
      <c r="E6" s="112"/>
      <c r="F6" s="112"/>
      <c r="G6" s="112"/>
      <c r="H6" s="113"/>
      <c r="I6" s="572" t="s">
        <v>118</v>
      </c>
      <c r="J6" s="572"/>
      <c r="K6" s="572"/>
      <c r="L6" s="572"/>
      <c r="M6" s="572"/>
      <c r="N6" s="572"/>
      <c r="O6" s="572"/>
      <c r="P6" s="572"/>
      <c r="Q6" s="572"/>
      <c r="R6" s="572"/>
      <c r="S6" s="572"/>
      <c r="T6" s="572"/>
      <c r="U6" s="572"/>
      <c r="V6" s="572"/>
      <c r="W6" s="572"/>
      <c r="X6" s="572"/>
      <c r="Y6" s="572"/>
      <c r="Z6" s="572"/>
      <c r="AA6" s="572"/>
      <c r="AB6" s="572"/>
      <c r="AC6" s="572"/>
      <c r="AD6" s="572"/>
      <c r="AE6" s="572"/>
      <c r="AF6" s="572"/>
      <c r="AG6" s="113"/>
      <c r="AH6" s="113"/>
      <c r="AI6" s="113"/>
      <c r="AJ6" s="113"/>
      <c r="AK6" s="113"/>
      <c r="AL6" s="114"/>
      <c r="AM6" s="113"/>
      <c r="AN6" s="113"/>
      <c r="AO6" s="105"/>
    </row>
    <row r="7" spans="1:41" ht="14.25" customHeight="1">
      <c r="C7" s="111"/>
      <c r="D7" s="112"/>
      <c r="E7" s="112"/>
      <c r="F7" s="112"/>
      <c r="G7" s="112"/>
      <c r="H7" s="113"/>
      <c r="I7" s="572" t="s">
        <v>119</v>
      </c>
      <c r="J7" s="572"/>
      <c r="K7" s="572"/>
      <c r="L7" s="572"/>
      <c r="M7" s="572"/>
      <c r="N7" s="572"/>
      <c r="O7" s="572"/>
      <c r="P7" s="572"/>
      <c r="Q7" s="572"/>
      <c r="R7" s="572"/>
      <c r="S7" s="572"/>
      <c r="T7" s="572"/>
      <c r="U7" s="572"/>
      <c r="V7" s="572"/>
      <c r="W7" s="572"/>
      <c r="X7" s="572"/>
      <c r="Y7" s="572"/>
      <c r="Z7" s="572"/>
      <c r="AA7" s="572"/>
      <c r="AB7" s="572"/>
      <c r="AC7" s="572"/>
      <c r="AD7" s="572"/>
      <c r="AE7" s="572"/>
      <c r="AF7" s="572"/>
      <c r="AG7" s="113"/>
      <c r="AH7" s="113"/>
      <c r="AI7" s="113"/>
      <c r="AJ7" s="113"/>
      <c r="AK7" s="113"/>
      <c r="AL7" s="114"/>
      <c r="AM7" s="113"/>
      <c r="AN7" s="113"/>
      <c r="AO7" s="105"/>
    </row>
    <row r="8" spans="1:41" ht="14.25" customHeight="1">
      <c r="A8" s="105"/>
      <c r="B8" s="105"/>
      <c r="C8" s="109"/>
      <c r="D8" s="105"/>
      <c r="E8" s="105"/>
      <c r="F8" s="105"/>
      <c r="G8" s="105"/>
      <c r="H8" s="115"/>
      <c r="I8" s="572"/>
      <c r="J8" s="572"/>
      <c r="K8" s="572"/>
      <c r="L8" s="572"/>
      <c r="M8" s="572"/>
      <c r="N8" s="572"/>
      <c r="O8" s="572"/>
      <c r="P8" s="572"/>
      <c r="Q8" s="572"/>
      <c r="R8" s="572"/>
      <c r="S8" s="572"/>
      <c r="T8" s="572"/>
      <c r="U8" s="572"/>
      <c r="V8" s="572"/>
      <c r="W8" s="572"/>
      <c r="X8" s="572"/>
      <c r="Y8" s="572"/>
      <c r="Z8" s="572"/>
      <c r="AA8" s="572"/>
      <c r="AB8" s="572"/>
      <c r="AC8" s="572"/>
      <c r="AD8" s="572"/>
      <c r="AE8" s="572"/>
      <c r="AF8" s="572"/>
      <c r="AG8" s="105"/>
      <c r="AH8" s="105"/>
      <c r="AI8" s="105"/>
      <c r="AJ8" s="105"/>
      <c r="AK8" s="105"/>
      <c r="AL8" s="110"/>
      <c r="AM8" s="105"/>
      <c r="AN8" s="105"/>
      <c r="AO8" s="105"/>
    </row>
    <row r="9" spans="1:41" ht="14.25" customHeight="1">
      <c r="A9" s="105"/>
      <c r="B9" s="105"/>
      <c r="C9" s="109"/>
      <c r="D9" s="105"/>
      <c r="E9" s="105"/>
      <c r="F9" s="105"/>
      <c r="G9" s="105"/>
      <c r="H9" s="115"/>
      <c r="I9" s="572"/>
      <c r="J9" s="572"/>
      <c r="K9" s="572"/>
      <c r="L9" s="572"/>
      <c r="M9" s="572"/>
      <c r="N9" s="572"/>
      <c r="O9" s="572"/>
      <c r="P9" s="572"/>
      <c r="Q9" s="572"/>
      <c r="R9" s="572"/>
      <c r="S9" s="572"/>
      <c r="T9" s="572"/>
      <c r="U9" s="572"/>
      <c r="V9" s="572"/>
      <c r="W9" s="572"/>
      <c r="X9" s="572"/>
      <c r="Y9" s="572"/>
      <c r="Z9" s="572"/>
      <c r="AA9" s="572"/>
      <c r="AB9" s="572"/>
      <c r="AC9" s="572"/>
      <c r="AD9" s="572"/>
      <c r="AE9" s="572"/>
      <c r="AF9" s="572"/>
      <c r="AG9" s="105"/>
      <c r="AH9" s="105"/>
      <c r="AI9" s="105"/>
      <c r="AJ9" s="105"/>
      <c r="AK9" s="105"/>
      <c r="AL9" s="110"/>
      <c r="AM9" s="105"/>
      <c r="AN9" s="105"/>
      <c r="AO9" s="105"/>
    </row>
    <row r="10" spans="1:41" ht="14.25" customHeight="1">
      <c r="A10" s="105"/>
      <c r="B10" s="105"/>
      <c r="C10" s="109"/>
      <c r="D10" s="105" t="s">
        <v>120</v>
      </c>
      <c r="E10" s="105"/>
      <c r="F10" s="105"/>
      <c r="G10" s="105"/>
      <c r="H10" s="115"/>
      <c r="I10" s="115"/>
      <c r="J10" s="115"/>
      <c r="K10" s="116"/>
      <c r="L10" s="116"/>
      <c r="M10" s="116"/>
      <c r="N10" s="116"/>
      <c r="O10" s="116"/>
      <c r="P10" s="116"/>
      <c r="Q10" s="116"/>
      <c r="R10" s="116"/>
      <c r="S10" s="116"/>
      <c r="T10" s="116"/>
      <c r="U10" s="116"/>
      <c r="V10" s="116"/>
      <c r="W10" s="116"/>
      <c r="X10" s="117"/>
      <c r="Y10" s="116"/>
      <c r="Z10" s="116"/>
      <c r="AA10" s="116"/>
      <c r="AB10" s="116"/>
      <c r="AC10" s="116"/>
      <c r="AD10" s="116"/>
      <c r="AE10" s="105"/>
      <c r="AF10" s="105"/>
      <c r="AG10" s="105"/>
      <c r="AH10" s="105"/>
      <c r="AI10" s="105"/>
      <c r="AJ10" s="105"/>
      <c r="AK10" s="105"/>
      <c r="AL10" s="110"/>
      <c r="AM10" s="105"/>
      <c r="AN10" s="105"/>
      <c r="AO10" s="105"/>
    </row>
    <row r="11" spans="1:41" ht="14.25" customHeight="1">
      <c r="A11" s="105"/>
      <c r="B11" s="105"/>
      <c r="C11" s="109"/>
      <c r="D11" s="105"/>
      <c r="E11" s="105"/>
      <c r="F11" s="105"/>
      <c r="G11" s="105"/>
      <c r="H11" s="105"/>
      <c r="I11" s="105"/>
      <c r="J11" s="105"/>
      <c r="K11" s="115"/>
      <c r="L11" s="117"/>
      <c r="M11" s="117"/>
      <c r="N11" s="117"/>
      <c r="O11" s="117"/>
      <c r="P11" s="117"/>
      <c r="Q11" s="117"/>
      <c r="R11" s="117"/>
      <c r="S11" s="117"/>
      <c r="T11" s="117"/>
      <c r="U11" s="117"/>
      <c r="V11" s="117"/>
      <c r="W11" s="117"/>
      <c r="X11" s="117"/>
      <c r="Y11" s="117"/>
      <c r="Z11" s="117"/>
      <c r="AA11" s="117"/>
      <c r="AB11" s="117"/>
      <c r="AC11" s="117"/>
      <c r="AD11" s="105"/>
      <c r="AE11" s="105"/>
      <c r="AF11" s="105"/>
      <c r="AG11" s="105"/>
      <c r="AH11" s="105"/>
      <c r="AI11" s="105"/>
      <c r="AJ11" s="105"/>
      <c r="AK11" s="105"/>
      <c r="AL11" s="110"/>
      <c r="AM11" s="105"/>
      <c r="AN11" s="105"/>
      <c r="AO11" s="105"/>
    </row>
    <row r="12" spans="1:41" ht="14.25" customHeight="1">
      <c r="A12" s="105"/>
      <c r="B12" s="105"/>
      <c r="C12" s="109"/>
      <c r="D12" s="118"/>
      <c r="E12" s="119"/>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483">
        <f ca="1">TODAY()</f>
        <v>46316</v>
      </c>
      <c r="AE12" s="483"/>
      <c r="AF12" s="483"/>
      <c r="AG12" s="483"/>
      <c r="AH12" s="483"/>
      <c r="AI12" s="483"/>
      <c r="AJ12" s="483"/>
      <c r="AK12" s="483"/>
      <c r="AL12" s="120"/>
      <c r="AM12" s="121"/>
      <c r="AN12" s="105"/>
      <c r="AO12" s="105"/>
    </row>
    <row r="13" spans="1:41" ht="14.25" customHeight="1">
      <c r="A13" s="105"/>
      <c r="B13" s="105"/>
      <c r="C13" s="109"/>
      <c r="D13" s="558" t="s">
        <v>122</v>
      </c>
      <c r="E13" s="559"/>
      <c r="F13" s="559"/>
      <c r="G13" s="559"/>
      <c r="H13" s="564"/>
      <c r="I13" s="564"/>
      <c r="J13" s="564"/>
      <c r="K13" s="564"/>
      <c r="L13" s="564"/>
      <c r="M13" s="564"/>
      <c r="N13" s="564"/>
      <c r="O13" s="564"/>
      <c r="P13" s="565" t="s">
        <v>123</v>
      </c>
      <c r="Q13" s="565"/>
      <c r="R13" s="471"/>
      <c r="S13" s="471"/>
      <c r="T13" s="566">
        <f>証明書!AL2</f>
        <v>16851</v>
      </c>
      <c r="U13" s="566"/>
      <c r="V13" s="567"/>
      <c r="W13" s="567"/>
      <c r="X13" s="567"/>
      <c r="Y13" s="567"/>
      <c r="Z13" s="567"/>
      <c r="AA13" s="567"/>
      <c r="AB13" s="567"/>
      <c r="AC13" s="567"/>
      <c r="AD13" s="567"/>
      <c r="AE13" s="568" t="s">
        <v>124</v>
      </c>
      <c r="AF13" s="569"/>
      <c r="AG13" s="455"/>
      <c r="AH13" s="453" t="str">
        <f>証明書!AM2</f>
        <v>男</v>
      </c>
      <c r="AI13" s="454"/>
      <c r="AJ13" s="454"/>
      <c r="AK13" s="455"/>
      <c r="AL13" s="122"/>
      <c r="AM13" s="117"/>
      <c r="AN13" s="105"/>
      <c r="AO13" s="105"/>
    </row>
    <row r="14" spans="1:41" ht="14.25" customHeight="1">
      <c r="A14" s="105"/>
      <c r="B14" s="105"/>
      <c r="C14" s="109"/>
      <c r="D14" s="560"/>
      <c r="E14" s="561"/>
      <c r="F14" s="561"/>
      <c r="G14" s="561"/>
      <c r="H14" s="564"/>
      <c r="I14" s="564"/>
      <c r="J14" s="564"/>
      <c r="K14" s="564"/>
      <c r="L14" s="564"/>
      <c r="M14" s="564"/>
      <c r="N14" s="564"/>
      <c r="O14" s="564"/>
      <c r="P14" s="565"/>
      <c r="Q14" s="565"/>
      <c r="R14" s="471"/>
      <c r="S14" s="471"/>
      <c r="T14" s="567"/>
      <c r="U14" s="567"/>
      <c r="V14" s="567"/>
      <c r="W14" s="567"/>
      <c r="X14" s="567"/>
      <c r="Y14" s="567"/>
      <c r="Z14" s="567"/>
      <c r="AA14" s="567"/>
      <c r="AB14" s="567"/>
      <c r="AC14" s="567"/>
      <c r="AD14" s="567"/>
      <c r="AE14" s="570"/>
      <c r="AF14" s="571"/>
      <c r="AG14" s="458"/>
      <c r="AH14" s="456"/>
      <c r="AI14" s="457"/>
      <c r="AJ14" s="457"/>
      <c r="AK14" s="458"/>
      <c r="AL14" s="122"/>
      <c r="AM14" s="117"/>
      <c r="AN14" s="105"/>
      <c r="AO14" s="105"/>
    </row>
    <row r="15" spans="1:41" ht="14.25" customHeight="1">
      <c r="A15" s="105"/>
      <c r="B15" s="105"/>
      <c r="C15" s="109"/>
      <c r="D15" s="560"/>
      <c r="E15" s="561"/>
      <c r="F15" s="561"/>
      <c r="G15" s="561"/>
      <c r="H15" s="564"/>
      <c r="I15" s="564"/>
      <c r="J15" s="564"/>
      <c r="K15" s="564"/>
      <c r="L15" s="564"/>
      <c r="M15" s="564"/>
      <c r="N15" s="564"/>
      <c r="O15" s="564"/>
      <c r="P15" s="565"/>
      <c r="Q15" s="565"/>
      <c r="R15" s="471"/>
      <c r="S15" s="471"/>
      <c r="T15" s="567"/>
      <c r="U15" s="567"/>
      <c r="V15" s="567"/>
      <c r="W15" s="567"/>
      <c r="X15" s="567"/>
      <c r="Y15" s="567"/>
      <c r="Z15" s="567"/>
      <c r="AA15" s="567"/>
      <c r="AB15" s="567"/>
      <c r="AC15" s="567"/>
      <c r="AD15" s="567"/>
      <c r="AE15" s="570"/>
      <c r="AF15" s="571"/>
      <c r="AG15" s="458"/>
      <c r="AH15" s="456"/>
      <c r="AI15" s="457"/>
      <c r="AJ15" s="457"/>
      <c r="AK15" s="458"/>
      <c r="AL15" s="122"/>
      <c r="AM15" s="117"/>
      <c r="AN15" s="105"/>
      <c r="AO15" s="105"/>
    </row>
    <row r="16" spans="1:41" ht="14.25" customHeight="1">
      <c r="A16" s="105"/>
      <c r="B16" s="105"/>
      <c r="C16" s="109"/>
      <c r="D16" s="562"/>
      <c r="E16" s="563"/>
      <c r="F16" s="563"/>
      <c r="G16" s="563"/>
      <c r="H16" s="564"/>
      <c r="I16" s="564"/>
      <c r="J16" s="564"/>
      <c r="K16" s="564"/>
      <c r="L16" s="564"/>
      <c r="M16" s="564"/>
      <c r="N16" s="564"/>
      <c r="O16" s="564"/>
      <c r="P16" s="471"/>
      <c r="Q16" s="471"/>
      <c r="R16" s="471"/>
      <c r="S16" s="471"/>
      <c r="T16" s="567"/>
      <c r="U16" s="567"/>
      <c r="V16" s="567"/>
      <c r="W16" s="567"/>
      <c r="X16" s="567"/>
      <c r="Y16" s="567"/>
      <c r="Z16" s="567"/>
      <c r="AA16" s="567"/>
      <c r="AB16" s="567"/>
      <c r="AC16" s="567"/>
      <c r="AD16" s="567"/>
      <c r="AE16" s="459"/>
      <c r="AF16" s="460"/>
      <c r="AG16" s="461"/>
      <c r="AH16" s="459"/>
      <c r="AI16" s="460"/>
      <c r="AJ16" s="460"/>
      <c r="AK16" s="461"/>
      <c r="AL16" s="122"/>
      <c r="AM16" s="117"/>
      <c r="AN16" s="105"/>
      <c r="AO16" s="105"/>
    </row>
    <row r="17" spans="1:41" ht="14.25" customHeight="1">
      <c r="A17" s="105"/>
      <c r="B17" s="105"/>
      <c r="C17" s="109"/>
      <c r="D17" s="530" t="s">
        <v>126</v>
      </c>
      <c r="E17" s="530"/>
      <c r="F17" s="530"/>
      <c r="G17" s="530"/>
      <c r="H17" s="531" t="str">
        <f>証明書!AJ2</f>
        <v>乙川　二郎</v>
      </c>
      <c r="I17" s="532"/>
      <c r="J17" s="532"/>
      <c r="K17" s="532"/>
      <c r="L17" s="532"/>
      <c r="M17" s="532"/>
      <c r="N17" s="532"/>
      <c r="O17" s="532"/>
      <c r="P17" s="532"/>
      <c r="Q17" s="532"/>
      <c r="R17" s="532"/>
      <c r="S17" s="532"/>
      <c r="T17" s="532"/>
      <c r="U17" s="532"/>
      <c r="V17" s="532"/>
      <c r="W17" s="532"/>
      <c r="X17" s="532"/>
      <c r="Y17" s="532"/>
      <c r="Z17" s="532"/>
      <c r="AA17" s="532"/>
      <c r="AB17" s="532"/>
      <c r="AC17" s="532"/>
      <c r="AD17" s="532"/>
      <c r="AE17" s="532"/>
      <c r="AF17" s="532"/>
      <c r="AG17" s="532"/>
      <c r="AH17" s="532"/>
      <c r="AI17" s="532"/>
      <c r="AJ17" s="532"/>
      <c r="AK17" s="533"/>
      <c r="AL17" s="123"/>
      <c r="AM17" s="124"/>
      <c r="AN17" s="105"/>
      <c r="AO17" s="105"/>
    </row>
    <row r="18" spans="1:41" ht="14.25" customHeight="1">
      <c r="A18" s="105"/>
      <c r="B18" s="105"/>
      <c r="C18" s="109"/>
      <c r="D18" s="530"/>
      <c r="E18" s="530"/>
      <c r="F18" s="530"/>
      <c r="G18" s="530"/>
      <c r="H18" s="534"/>
      <c r="I18" s="535"/>
      <c r="J18" s="535"/>
      <c r="K18" s="535"/>
      <c r="L18" s="535"/>
      <c r="M18" s="535"/>
      <c r="N18" s="535"/>
      <c r="O18" s="535"/>
      <c r="P18" s="535"/>
      <c r="Q18" s="535"/>
      <c r="R18" s="535"/>
      <c r="S18" s="535"/>
      <c r="T18" s="535"/>
      <c r="U18" s="535"/>
      <c r="V18" s="535"/>
      <c r="W18" s="535"/>
      <c r="X18" s="535"/>
      <c r="Y18" s="535"/>
      <c r="Z18" s="535"/>
      <c r="AA18" s="535"/>
      <c r="AB18" s="535"/>
      <c r="AC18" s="535"/>
      <c r="AD18" s="535"/>
      <c r="AE18" s="535"/>
      <c r="AF18" s="535"/>
      <c r="AG18" s="535"/>
      <c r="AH18" s="535"/>
      <c r="AI18" s="535"/>
      <c r="AJ18" s="535"/>
      <c r="AK18" s="536"/>
      <c r="AL18" s="123"/>
      <c r="AM18" s="124"/>
      <c r="AN18" s="105"/>
      <c r="AO18" s="105"/>
    </row>
    <row r="19" spans="1:41" ht="14.25" customHeight="1">
      <c r="A19" s="105"/>
      <c r="B19" s="105"/>
      <c r="C19" s="109"/>
      <c r="D19" s="530"/>
      <c r="E19" s="530"/>
      <c r="F19" s="530"/>
      <c r="G19" s="530"/>
      <c r="H19" s="537"/>
      <c r="I19" s="538"/>
      <c r="J19" s="538"/>
      <c r="K19" s="538"/>
      <c r="L19" s="538"/>
      <c r="M19" s="538"/>
      <c r="N19" s="538"/>
      <c r="O19" s="538"/>
      <c r="P19" s="538"/>
      <c r="Q19" s="538"/>
      <c r="R19" s="538"/>
      <c r="S19" s="538"/>
      <c r="T19" s="538"/>
      <c r="U19" s="538"/>
      <c r="V19" s="538"/>
      <c r="W19" s="538"/>
      <c r="X19" s="538"/>
      <c r="Y19" s="538"/>
      <c r="Z19" s="538"/>
      <c r="AA19" s="538"/>
      <c r="AB19" s="538"/>
      <c r="AC19" s="538"/>
      <c r="AD19" s="538"/>
      <c r="AE19" s="538"/>
      <c r="AF19" s="538"/>
      <c r="AG19" s="538"/>
      <c r="AH19" s="538"/>
      <c r="AI19" s="538"/>
      <c r="AJ19" s="538"/>
      <c r="AK19" s="539"/>
      <c r="AL19" s="123"/>
      <c r="AM19" s="124"/>
      <c r="AN19" s="105"/>
      <c r="AO19" s="105"/>
    </row>
    <row r="20" spans="1:41" ht="14.25" customHeight="1">
      <c r="A20" s="105"/>
      <c r="B20" s="105"/>
      <c r="C20" s="109"/>
      <c r="D20" s="540" t="s">
        <v>127</v>
      </c>
      <c r="E20" s="541"/>
      <c r="F20" s="541"/>
      <c r="G20" s="542"/>
      <c r="H20" s="549" t="str">
        <f>"北海道河西郡"&amp;証明書!AN3</f>
        <v>北海道河西郡芽室町中央二丁目２番地　</v>
      </c>
      <c r="I20" s="550"/>
      <c r="J20" s="550"/>
      <c r="K20" s="550"/>
      <c r="L20" s="550"/>
      <c r="M20" s="550"/>
      <c r="N20" s="550"/>
      <c r="O20" s="550"/>
      <c r="P20" s="550"/>
      <c r="Q20" s="550"/>
      <c r="R20" s="550"/>
      <c r="S20" s="550"/>
      <c r="T20" s="550"/>
      <c r="U20" s="550"/>
      <c r="V20" s="550"/>
      <c r="W20" s="550"/>
      <c r="X20" s="550"/>
      <c r="Y20" s="550"/>
      <c r="Z20" s="550"/>
      <c r="AA20" s="550"/>
      <c r="AB20" s="550"/>
      <c r="AC20" s="550"/>
      <c r="AD20" s="550"/>
      <c r="AE20" s="550"/>
      <c r="AF20" s="550"/>
      <c r="AG20" s="550"/>
      <c r="AH20" s="550"/>
      <c r="AI20" s="550"/>
      <c r="AJ20" s="550"/>
      <c r="AK20" s="551"/>
      <c r="AL20" s="123"/>
      <c r="AM20" s="124"/>
      <c r="AN20" s="105"/>
      <c r="AO20" s="105"/>
    </row>
    <row r="21" spans="1:41" ht="14.25" customHeight="1">
      <c r="A21" s="105"/>
      <c r="B21" s="105"/>
      <c r="C21" s="109"/>
      <c r="D21" s="543"/>
      <c r="E21" s="544"/>
      <c r="F21" s="544"/>
      <c r="G21" s="545"/>
      <c r="H21" s="552"/>
      <c r="I21" s="553"/>
      <c r="J21" s="553"/>
      <c r="K21" s="553"/>
      <c r="L21" s="553"/>
      <c r="M21" s="553"/>
      <c r="N21" s="553"/>
      <c r="O21" s="553"/>
      <c r="P21" s="553"/>
      <c r="Q21" s="553"/>
      <c r="R21" s="553"/>
      <c r="S21" s="553"/>
      <c r="T21" s="553"/>
      <c r="U21" s="553"/>
      <c r="V21" s="553"/>
      <c r="W21" s="553"/>
      <c r="X21" s="553"/>
      <c r="Y21" s="553"/>
      <c r="Z21" s="553"/>
      <c r="AA21" s="553"/>
      <c r="AB21" s="553"/>
      <c r="AC21" s="553"/>
      <c r="AD21" s="553"/>
      <c r="AE21" s="553"/>
      <c r="AF21" s="553"/>
      <c r="AG21" s="553"/>
      <c r="AH21" s="553"/>
      <c r="AI21" s="553"/>
      <c r="AJ21" s="553"/>
      <c r="AK21" s="554"/>
      <c r="AL21" s="123"/>
      <c r="AM21" s="124"/>
      <c r="AN21" s="105"/>
      <c r="AO21" s="105"/>
    </row>
    <row r="22" spans="1:41" ht="14.25" customHeight="1">
      <c r="A22" s="105"/>
      <c r="B22" s="105"/>
      <c r="C22" s="109"/>
      <c r="D22" s="543"/>
      <c r="E22" s="544"/>
      <c r="F22" s="544"/>
      <c r="G22" s="545"/>
      <c r="H22" s="552"/>
      <c r="I22" s="553"/>
      <c r="J22" s="553"/>
      <c r="K22" s="553"/>
      <c r="L22" s="553"/>
      <c r="M22" s="553"/>
      <c r="N22" s="553"/>
      <c r="O22" s="553"/>
      <c r="P22" s="553"/>
      <c r="Q22" s="553"/>
      <c r="R22" s="553"/>
      <c r="S22" s="553"/>
      <c r="T22" s="553"/>
      <c r="U22" s="553"/>
      <c r="V22" s="553"/>
      <c r="W22" s="553"/>
      <c r="X22" s="553"/>
      <c r="Y22" s="553"/>
      <c r="Z22" s="553"/>
      <c r="AA22" s="553"/>
      <c r="AB22" s="553"/>
      <c r="AC22" s="553"/>
      <c r="AD22" s="553"/>
      <c r="AE22" s="553"/>
      <c r="AF22" s="553"/>
      <c r="AG22" s="553"/>
      <c r="AH22" s="553"/>
      <c r="AI22" s="553"/>
      <c r="AJ22" s="553"/>
      <c r="AK22" s="554"/>
      <c r="AL22" s="123"/>
      <c r="AM22" s="124"/>
      <c r="AN22" s="105"/>
      <c r="AO22" s="105"/>
    </row>
    <row r="23" spans="1:41" ht="14.25" customHeight="1">
      <c r="A23" s="105"/>
      <c r="B23" s="105"/>
      <c r="C23" s="109"/>
      <c r="D23" s="543"/>
      <c r="E23" s="544"/>
      <c r="F23" s="544"/>
      <c r="G23" s="545"/>
      <c r="H23" s="552"/>
      <c r="I23" s="553"/>
      <c r="J23" s="553"/>
      <c r="K23" s="553"/>
      <c r="L23" s="553"/>
      <c r="M23" s="553"/>
      <c r="N23" s="553"/>
      <c r="O23" s="553"/>
      <c r="P23" s="553"/>
      <c r="Q23" s="553"/>
      <c r="R23" s="553"/>
      <c r="S23" s="553"/>
      <c r="T23" s="553"/>
      <c r="U23" s="553"/>
      <c r="V23" s="553"/>
      <c r="W23" s="553"/>
      <c r="X23" s="553"/>
      <c r="Y23" s="553"/>
      <c r="Z23" s="553"/>
      <c r="AA23" s="553"/>
      <c r="AB23" s="553"/>
      <c r="AC23" s="553"/>
      <c r="AD23" s="553"/>
      <c r="AE23" s="553"/>
      <c r="AF23" s="553"/>
      <c r="AG23" s="553"/>
      <c r="AH23" s="553"/>
      <c r="AI23" s="553"/>
      <c r="AJ23" s="553"/>
      <c r="AK23" s="554"/>
      <c r="AL23" s="123"/>
      <c r="AM23" s="124"/>
      <c r="AN23" s="105"/>
      <c r="AO23" s="105"/>
    </row>
    <row r="24" spans="1:41" ht="14.25" customHeight="1">
      <c r="A24" s="105"/>
      <c r="B24" s="105"/>
      <c r="C24" s="109"/>
      <c r="D24" s="543"/>
      <c r="E24" s="544"/>
      <c r="F24" s="544"/>
      <c r="G24" s="545"/>
      <c r="H24" s="552"/>
      <c r="I24" s="553"/>
      <c r="J24" s="553"/>
      <c r="K24" s="553"/>
      <c r="L24" s="553"/>
      <c r="M24" s="553"/>
      <c r="N24" s="553"/>
      <c r="O24" s="553"/>
      <c r="P24" s="553"/>
      <c r="Q24" s="553"/>
      <c r="R24" s="553"/>
      <c r="S24" s="553"/>
      <c r="T24" s="553"/>
      <c r="U24" s="553"/>
      <c r="V24" s="553"/>
      <c r="W24" s="553"/>
      <c r="X24" s="553"/>
      <c r="Y24" s="553"/>
      <c r="Z24" s="553"/>
      <c r="AA24" s="553"/>
      <c r="AB24" s="553"/>
      <c r="AC24" s="553"/>
      <c r="AD24" s="553"/>
      <c r="AE24" s="553"/>
      <c r="AF24" s="553"/>
      <c r="AG24" s="553"/>
      <c r="AH24" s="553"/>
      <c r="AI24" s="553"/>
      <c r="AJ24" s="553"/>
      <c r="AK24" s="554"/>
      <c r="AL24" s="123"/>
      <c r="AM24" s="124"/>
      <c r="AN24" s="105"/>
      <c r="AO24" s="105"/>
    </row>
    <row r="25" spans="1:41" ht="14.25" customHeight="1">
      <c r="A25" s="105"/>
      <c r="B25" s="105"/>
      <c r="C25" s="109"/>
      <c r="D25" s="546"/>
      <c r="E25" s="547"/>
      <c r="F25" s="547"/>
      <c r="G25" s="548"/>
      <c r="H25" s="555"/>
      <c r="I25" s="556"/>
      <c r="J25" s="556"/>
      <c r="K25" s="556"/>
      <c r="L25" s="556"/>
      <c r="M25" s="556"/>
      <c r="N25" s="556"/>
      <c r="O25" s="556"/>
      <c r="P25" s="556"/>
      <c r="Q25" s="556"/>
      <c r="R25" s="556"/>
      <c r="S25" s="556"/>
      <c r="T25" s="556"/>
      <c r="U25" s="556"/>
      <c r="V25" s="556"/>
      <c r="W25" s="556"/>
      <c r="X25" s="556"/>
      <c r="Y25" s="556"/>
      <c r="Z25" s="556"/>
      <c r="AA25" s="556"/>
      <c r="AB25" s="556"/>
      <c r="AC25" s="556"/>
      <c r="AD25" s="556"/>
      <c r="AE25" s="556"/>
      <c r="AF25" s="556"/>
      <c r="AG25" s="556"/>
      <c r="AH25" s="556"/>
      <c r="AI25" s="556"/>
      <c r="AJ25" s="556"/>
      <c r="AK25" s="557"/>
      <c r="AL25" s="123"/>
      <c r="AM25" s="124"/>
      <c r="AN25" s="105"/>
      <c r="AO25" s="105"/>
    </row>
    <row r="26" spans="1:41" ht="14.25" customHeight="1">
      <c r="A26" s="105"/>
      <c r="B26" s="105"/>
      <c r="C26" s="109"/>
      <c r="D26" s="530" t="s">
        <v>128</v>
      </c>
      <c r="E26" s="530"/>
      <c r="F26" s="530"/>
      <c r="G26" s="530"/>
      <c r="H26" s="484"/>
      <c r="I26" s="485"/>
      <c r="J26" s="485"/>
      <c r="K26" s="485"/>
      <c r="L26" s="485"/>
      <c r="M26" s="485"/>
      <c r="N26" s="485"/>
      <c r="O26" s="485"/>
      <c r="P26" s="485"/>
      <c r="Q26" s="485"/>
      <c r="R26" s="485"/>
      <c r="S26" s="485"/>
      <c r="T26" s="485"/>
      <c r="U26" s="485"/>
      <c r="V26" s="485"/>
      <c r="W26" s="485"/>
      <c r="X26" s="485"/>
      <c r="Y26" s="485"/>
      <c r="Z26" s="485"/>
      <c r="AA26" s="485"/>
      <c r="AB26" s="485"/>
      <c r="AC26" s="485"/>
      <c r="AD26" s="485"/>
      <c r="AE26" s="485"/>
      <c r="AF26" s="485"/>
      <c r="AG26" s="485"/>
      <c r="AH26" s="485"/>
      <c r="AI26" s="485"/>
      <c r="AJ26" s="485"/>
      <c r="AK26" s="486"/>
      <c r="AL26" s="122"/>
      <c r="AM26" s="117"/>
      <c r="AN26" s="105"/>
      <c r="AO26" s="105"/>
    </row>
    <row r="27" spans="1:41" ht="14.25" customHeight="1">
      <c r="A27" s="105"/>
      <c r="B27" s="105"/>
      <c r="C27" s="109"/>
      <c r="D27" s="530"/>
      <c r="E27" s="530"/>
      <c r="F27" s="530"/>
      <c r="G27" s="530"/>
      <c r="H27" s="487"/>
      <c r="I27" s="488"/>
      <c r="J27" s="488"/>
      <c r="K27" s="488"/>
      <c r="L27" s="488"/>
      <c r="M27" s="488"/>
      <c r="N27" s="488"/>
      <c r="O27" s="488"/>
      <c r="P27" s="488"/>
      <c r="Q27" s="488"/>
      <c r="R27" s="488"/>
      <c r="S27" s="488"/>
      <c r="T27" s="488"/>
      <c r="U27" s="488"/>
      <c r="V27" s="488"/>
      <c r="W27" s="488"/>
      <c r="X27" s="488"/>
      <c r="Y27" s="488"/>
      <c r="Z27" s="488"/>
      <c r="AA27" s="488"/>
      <c r="AB27" s="488"/>
      <c r="AC27" s="488"/>
      <c r="AD27" s="488"/>
      <c r="AE27" s="488"/>
      <c r="AF27" s="488"/>
      <c r="AG27" s="488"/>
      <c r="AH27" s="488"/>
      <c r="AI27" s="488"/>
      <c r="AJ27" s="488"/>
      <c r="AK27" s="489"/>
      <c r="AL27" s="122"/>
      <c r="AM27" s="117"/>
      <c r="AN27" s="105"/>
      <c r="AO27" s="105"/>
    </row>
    <row r="28" spans="1:41" ht="14.25" customHeight="1">
      <c r="A28" s="105"/>
      <c r="B28" s="105"/>
      <c r="C28" s="109"/>
      <c r="D28" s="530"/>
      <c r="E28" s="530"/>
      <c r="F28" s="530"/>
      <c r="G28" s="530"/>
      <c r="H28" s="487"/>
      <c r="I28" s="488"/>
      <c r="J28" s="488"/>
      <c r="K28" s="488"/>
      <c r="L28" s="488"/>
      <c r="M28" s="488"/>
      <c r="N28" s="488"/>
      <c r="O28" s="488"/>
      <c r="P28" s="488"/>
      <c r="Q28" s="488"/>
      <c r="R28" s="488"/>
      <c r="S28" s="488"/>
      <c r="T28" s="488"/>
      <c r="U28" s="488"/>
      <c r="V28" s="488"/>
      <c r="W28" s="488"/>
      <c r="X28" s="488"/>
      <c r="Y28" s="488"/>
      <c r="Z28" s="488"/>
      <c r="AA28" s="488"/>
      <c r="AB28" s="488"/>
      <c r="AC28" s="488"/>
      <c r="AD28" s="488"/>
      <c r="AE28" s="488"/>
      <c r="AF28" s="488"/>
      <c r="AG28" s="488"/>
      <c r="AH28" s="488"/>
      <c r="AI28" s="488"/>
      <c r="AJ28" s="488"/>
      <c r="AK28" s="489"/>
      <c r="AL28" s="122"/>
      <c r="AM28" s="117"/>
      <c r="AN28" s="105"/>
      <c r="AO28" s="105"/>
    </row>
    <row r="29" spans="1:41" ht="14.25" customHeight="1">
      <c r="A29" s="105"/>
      <c r="B29" s="105"/>
      <c r="C29" s="109"/>
      <c r="D29" s="530"/>
      <c r="E29" s="530"/>
      <c r="F29" s="530"/>
      <c r="G29" s="530"/>
      <c r="H29" s="490"/>
      <c r="I29" s="491"/>
      <c r="J29" s="491"/>
      <c r="K29" s="491"/>
      <c r="L29" s="491"/>
      <c r="M29" s="491"/>
      <c r="N29" s="491"/>
      <c r="O29" s="491"/>
      <c r="P29" s="491"/>
      <c r="Q29" s="491"/>
      <c r="R29" s="491"/>
      <c r="S29" s="491"/>
      <c r="T29" s="491"/>
      <c r="U29" s="491"/>
      <c r="V29" s="491"/>
      <c r="W29" s="491"/>
      <c r="X29" s="491"/>
      <c r="Y29" s="491"/>
      <c r="Z29" s="491"/>
      <c r="AA29" s="491"/>
      <c r="AB29" s="491"/>
      <c r="AC29" s="491"/>
      <c r="AD29" s="491"/>
      <c r="AE29" s="491"/>
      <c r="AF29" s="491"/>
      <c r="AG29" s="491"/>
      <c r="AH29" s="491"/>
      <c r="AI29" s="491"/>
      <c r="AJ29" s="491"/>
      <c r="AK29" s="492"/>
      <c r="AL29" s="122"/>
      <c r="AM29" s="117"/>
      <c r="AN29" s="105"/>
      <c r="AO29" s="105"/>
    </row>
    <row r="30" spans="1:41" ht="14.25" customHeight="1">
      <c r="A30" s="105"/>
      <c r="B30" s="105"/>
      <c r="C30" s="109"/>
      <c r="D30" s="125" t="s">
        <v>129</v>
      </c>
      <c r="E30" s="126" t="s">
        <v>130</v>
      </c>
      <c r="F30" s="127"/>
      <c r="G30" s="127"/>
      <c r="H30" s="105"/>
      <c r="I30" s="105"/>
      <c r="J30" s="105"/>
      <c r="K30" s="105"/>
      <c r="L30" s="105"/>
      <c r="M30" s="105"/>
      <c r="N30" s="105"/>
      <c r="O30" s="128"/>
      <c r="P30" s="105"/>
      <c r="Q30" s="105"/>
      <c r="R30" s="105"/>
      <c r="S30" s="129"/>
      <c r="T30" s="127"/>
      <c r="U30" s="127"/>
      <c r="V30" s="127"/>
      <c r="W30" s="127"/>
      <c r="X30" s="127"/>
      <c r="Y30" s="127"/>
      <c r="Z30" s="127"/>
      <c r="AA30" s="127"/>
      <c r="AB30" s="127"/>
      <c r="AC30" s="127"/>
      <c r="AD30" s="105"/>
      <c r="AE30" s="105"/>
      <c r="AF30" s="105"/>
      <c r="AG30" s="105"/>
      <c r="AH30" s="105"/>
      <c r="AI30" s="105"/>
      <c r="AJ30" s="105"/>
      <c r="AK30" s="105"/>
      <c r="AL30" s="110"/>
      <c r="AM30" s="105"/>
      <c r="AN30" s="105"/>
      <c r="AO30" s="105"/>
    </row>
    <row r="31" spans="1:41" ht="14.25" customHeight="1">
      <c r="A31" s="105"/>
      <c r="B31" s="105"/>
      <c r="C31" s="109"/>
      <c r="D31" s="130"/>
      <c r="E31" s="130"/>
      <c r="F31" s="130"/>
      <c r="G31" s="130"/>
      <c r="H31" s="124"/>
      <c r="I31" s="124"/>
      <c r="J31" s="124"/>
      <c r="K31" s="124"/>
      <c r="L31" s="124"/>
      <c r="M31" s="124"/>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c r="AL31" s="123"/>
      <c r="AM31" s="124"/>
      <c r="AN31" s="105"/>
      <c r="AO31" s="105"/>
    </row>
    <row r="32" spans="1:41" ht="14.25" customHeight="1">
      <c r="A32" s="105"/>
      <c r="B32" s="105"/>
      <c r="C32" s="109"/>
      <c r="D32" s="131" t="s">
        <v>131</v>
      </c>
      <c r="E32" s="130"/>
      <c r="F32" s="130"/>
      <c r="G32" s="130"/>
      <c r="H32" s="124"/>
      <c r="I32" s="124"/>
      <c r="J32" s="124"/>
      <c r="K32" s="124"/>
      <c r="L32" s="124"/>
      <c r="M32" s="124"/>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c r="AL32" s="123"/>
      <c r="AM32" s="124"/>
      <c r="AN32" s="105"/>
      <c r="AO32" s="105"/>
    </row>
    <row r="33" spans="1:41" ht="14.25" customHeight="1">
      <c r="A33" s="105"/>
      <c r="B33" s="105"/>
      <c r="C33" s="109"/>
      <c r="D33" s="462" t="s">
        <v>132</v>
      </c>
      <c r="E33" s="463"/>
      <c r="F33" s="463"/>
      <c r="G33" s="464"/>
      <c r="H33" s="471" t="s">
        <v>133</v>
      </c>
      <c r="I33" s="471"/>
      <c r="J33" s="471"/>
      <c r="K33" s="471"/>
      <c r="L33" s="471"/>
      <c r="M33" s="471"/>
      <c r="N33" s="471"/>
      <c r="O33" s="471"/>
      <c r="P33" s="471"/>
      <c r="Q33" s="471"/>
      <c r="R33" s="471"/>
      <c r="S33" s="471"/>
      <c r="T33" s="471"/>
      <c r="U33" s="471"/>
      <c r="V33" s="471"/>
      <c r="W33" s="471" t="s">
        <v>134</v>
      </c>
      <c r="X33" s="471"/>
      <c r="Y33" s="471"/>
      <c r="Z33" s="471"/>
      <c r="AA33" s="471"/>
      <c r="AB33" s="471"/>
      <c r="AC33" s="471"/>
      <c r="AD33" s="471"/>
      <c r="AE33" s="471"/>
      <c r="AF33" s="471"/>
      <c r="AG33" s="471"/>
      <c r="AH33" s="471"/>
      <c r="AI33" s="471"/>
      <c r="AJ33" s="471"/>
      <c r="AK33" s="471"/>
      <c r="AL33" s="123"/>
      <c r="AM33" s="124"/>
      <c r="AN33" s="105"/>
      <c r="AO33" s="105"/>
    </row>
    <row r="34" spans="1:41" ht="14.25" customHeight="1">
      <c r="A34" s="105"/>
      <c r="B34" s="105"/>
      <c r="C34" s="109"/>
      <c r="D34" s="465"/>
      <c r="E34" s="466"/>
      <c r="F34" s="466"/>
      <c r="G34" s="467"/>
      <c r="H34" s="472" t="s">
        <v>135</v>
      </c>
      <c r="I34" s="473"/>
      <c r="J34" s="473"/>
      <c r="K34" s="473"/>
      <c r="L34" s="473"/>
      <c r="M34" s="473"/>
      <c r="N34" s="473"/>
      <c r="O34" s="473"/>
      <c r="P34" s="473"/>
      <c r="Q34" s="473"/>
      <c r="R34" s="473"/>
      <c r="S34" s="473"/>
      <c r="T34" s="473"/>
      <c r="U34" s="473"/>
      <c r="V34" s="474"/>
      <c r="W34" s="472" t="s">
        <v>135</v>
      </c>
      <c r="X34" s="473"/>
      <c r="Y34" s="473"/>
      <c r="Z34" s="473"/>
      <c r="AA34" s="473"/>
      <c r="AB34" s="473"/>
      <c r="AC34" s="473"/>
      <c r="AD34" s="473"/>
      <c r="AE34" s="473"/>
      <c r="AF34" s="473"/>
      <c r="AG34" s="473"/>
      <c r="AH34" s="473"/>
      <c r="AI34" s="473"/>
      <c r="AJ34" s="473"/>
      <c r="AK34" s="474"/>
      <c r="AL34" s="123"/>
      <c r="AM34" s="124"/>
      <c r="AN34" s="105"/>
      <c r="AO34" s="105"/>
    </row>
    <row r="35" spans="1:41" ht="14.25" customHeight="1">
      <c r="A35" s="105"/>
      <c r="B35" s="105"/>
      <c r="C35" s="109"/>
      <c r="D35" s="465"/>
      <c r="E35" s="466"/>
      <c r="F35" s="466"/>
      <c r="G35" s="467"/>
      <c r="H35" s="475"/>
      <c r="I35" s="476"/>
      <c r="J35" s="476"/>
      <c r="K35" s="476"/>
      <c r="L35" s="476"/>
      <c r="M35" s="476"/>
      <c r="N35" s="476"/>
      <c r="O35" s="476"/>
      <c r="P35" s="476"/>
      <c r="Q35" s="476"/>
      <c r="R35" s="476"/>
      <c r="S35" s="476"/>
      <c r="T35" s="476"/>
      <c r="U35" s="476"/>
      <c r="V35" s="477"/>
      <c r="W35" s="475"/>
      <c r="X35" s="476"/>
      <c r="Y35" s="476"/>
      <c r="Z35" s="476"/>
      <c r="AA35" s="476"/>
      <c r="AB35" s="476"/>
      <c r="AC35" s="476"/>
      <c r="AD35" s="476"/>
      <c r="AE35" s="476"/>
      <c r="AF35" s="476"/>
      <c r="AG35" s="476"/>
      <c r="AH35" s="476"/>
      <c r="AI35" s="476"/>
      <c r="AJ35" s="476"/>
      <c r="AK35" s="477"/>
      <c r="AL35" s="123"/>
      <c r="AM35" s="124"/>
      <c r="AN35" s="105"/>
      <c r="AO35" s="105"/>
    </row>
    <row r="36" spans="1:41" ht="14.25" customHeight="1">
      <c r="A36" s="105"/>
      <c r="B36" s="105"/>
      <c r="C36" s="109"/>
      <c r="D36" s="465"/>
      <c r="E36" s="466"/>
      <c r="F36" s="466"/>
      <c r="G36" s="467"/>
      <c r="H36" s="475"/>
      <c r="I36" s="476"/>
      <c r="J36" s="476"/>
      <c r="K36" s="476"/>
      <c r="L36" s="476"/>
      <c r="M36" s="476"/>
      <c r="N36" s="476"/>
      <c r="O36" s="476"/>
      <c r="P36" s="476"/>
      <c r="Q36" s="476"/>
      <c r="R36" s="476"/>
      <c r="S36" s="476"/>
      <c r="T36" s="476"/>
      <c r="U36" s="476"/>
      <c r="V36" s="477"/>
      <c r="W36" s="475"/>
      <c r="X36" s="476"/>
      <c r="Y36" s="476"/>
      <c r="Z36" s="476"/>
      <c r="AA36" s="476"/>
      <c r="AB36" s="476"/>
      <c r="AC36" s="476"/>
      <c r="AD36" s="476"/>
      <c r="AE36" s="476"/>
      <c r="AF36" s="476"/>
      <c r="AG36" s="476"/>
      <c r="AH36" s="476"/>
      <c r="AI36" s="476"/>
      <c r="AJ36" s="476"/>
      <c r="AK36" s="477"/>
      <c r="AL36" s="123"/>
      <c r="AM36" s="124"/>
      <c r="AN36" s="105"/>
      <c r="AO36" s="105"/>
    </row>
    <row r="37" spans="1:41" ht="14.25" customHeight="1">
      <c r="A37" s="105"/>
      <c r="B37" s="105"/>
      <c r="C37" s="109"/>
      <c r="D37" s="465"/>
      <c r="E37" s="466"/>
      <c r="F37" s="466"/>
      <c r="G37" s="467"/>
      <c r="H37" s="478"/>
      <c r="I37" s="479"/>
      <c r="J37" s="479"/>
      <c r="K37" s="479"/>
      <c r="L37" s="479"/>
      <c r="M37" s="479"/>
      <c r="N37" s="479"/>
      <c r="O37" s="479"/>
      <c r="P37" s="479"/>
      <c r="Q37" s="479"/>
      <c r="R37" s="479"/>
      <c r="S37" s="479"/>
      <c r="T37" s="479"/>
      <c r="U37" s="479"/>
      <c r="V37" s="480"/>
      <c r="W37" s="478"/>
      <c r="X37" s="479"/>
      <c r="Y37" s="479"/>
      <c r="Z37" s="479"/>
      <c r="AA37" s="479"/>
      <c r="AB37" s="479"/>
      <c r="AC37" s="479"/>
      <c r="AD37" s="479"/>
      <c r="AE37" s="479"/>
      <c r="AF37" s="479"/>
      <c r="AG37" s="479"/>
      <c r="AH37" s="479"/>
      <c r="AI37" s="479"/>
      <c r="AJ37" s="479"/>
      <c r="AK37" s="480"/>
      <c r="AL37" s="123"/>
      <c r="AM37" s="124"/>
      <c r="AN37" s="105"/>
      <c r="AO37" s="105"/>
    </row>
    <row r="38" spans="1:41" ht="14.25" customHeight="1">
      <c r="A38" s="105"/>
      <c r="B38" s="105"/>
      <c r="C38" s="109"/>
      <c r="D38" s="465"/>
      <c r="E38" s="466"/>
      <c r="F38" s="466"/>
      <c r="G38" s="467"/>
      <c r="H38" s="471" t="s">
        <v>136</v>
      </c>
      <c r="I38" s="471"/>
      <c r="J38" s="471"/>
      <c r="K38" s="471"/>
      <c r="L38" s="471"/>
      <c r="M38" s="471"/>
      <c r="N38" s="471"/>
      <c r="O38" s="471"/>
      <c r="P38" s="471"/>
      <c r="Q38" s="471"/>
      <c r="R38" s="471"/>
      <c r="S38" s="471"/>
      <c r="T38" s="471"/>
      <c r="U38" s="471"/>
      <c r="V38" s="471"/>
      <c r="W38" s="471" t="s">
        <v>137</v>
      </c>
      <c r="X38" s="471"/>
      <c r="Y38" s="471"/>
      <c r="Z38" s="471"/>
      <c r="AA38" s="471"/>
      <c r="AB38" s="471"/>
      <c r="AC38" s="471"/>
      <c r="AD38" s="471"/>
      <c r="AE38" s="471"/>
      <c r="AF38" s="471"/>
      <c r="AG38" s="471"/>
      <c r="AH38" s="471"/>
      <c r="AI38" s="471"/>
      <c r="AJ38" s="471"/>
      <c r="AK38" s="471"/>
      <c r="AL38" s="123"/>
      <c r="AM38" s="124"/>
      <c r="AN38" s="105"/>
      <c r="AO38" s="105"/>
    </row>
    <row r="39" spans="1:41" ht="14.25" customHeight="1">
      <c r="A39" s="105"/>
      <c r="B39" s="105"/>
      <c r="C39" s="109"/>
      <c r="D39" s="465"/>
      <c r="E39" s="466"/>
      <c r="F39" s="466"/>
      <c r="G39" s="467"/>
      <c r="H39" s="472" t="s">
        <v>135</v>
      </c>
      <c r="I39" s="473"/>
      <c r="J39" s="473"/>
      <c r="K39" s="473"/>
      <c r="L39" s="473"/>
      <c r="M39" s="473"/>
      <c r="N39" s="473"/>
      <c r="O39" s="473"/>
      <c r="P39" s="473"/>
      <c r="Q39" s="473"/>
      <c r="R39" s="473"/>
      <c r="S39" s="473"/>
      <c r="T39" s="473"/>
      <c r="U39" s="473"/>
      <c r="V39" s="474"/>
      <c r="W39" s="472" t="s">
        <v>135</v>
      </c>
      <c r="X39" s="473"/>
      <c r="Y39" s="473"/>
      <c r="Z39" s="473"/>
      <c r="AA39" s="473"/>
      <c r="AB39" s="473"/>
      <c r="AC39" s="473"/>
      <c r="AD39" s="473"/>
      <c r="AE39" s="473"/>
      <c r="AF39" s="473"/>
      <c r="AG39" s="473"/>
      <c r="AH39" s="473"/>
      <c r="AI39" s="473"/>
      <c r="AJ39" s="473"/>
      <c r="AK39" s="474"/>
      <c r="AL39" s="123"/>
      <c r="AM39" s="124"/>
      <c r="AN39" s="105"/>
      <c r="AO39" s="105"/>
    </row>
    <row r="40" spans="1:41" ht="14.25" customHeight="1">
      <c r="A40" s="105"/>
      <c r="B40" s="105"/>
      <c r="C40" s="109"/>
      <c r="D40" s="465"/>
      <c r="E40" s="466"/>
      <c r="F40" s="466"/>
      <c r="G40" s="467"/>
      <c r="H40" s="475"/>
      <c r="I40" s="476"/>
      <c r="J40" s="476"/>
      <c r="K40" s="476"/>
      <c r="L40" s="476"/>
      <c r="M40" s="476"/>
      <c r="N40" s="476"/>
      <c r="O40" s="476"/>
      <c r="P40" s="476"/>
      <c r="Q40" s="476"/>
      <c r="R40" s="476"/>
      <c r="S40" s="476"/>
      <c r="T40" s="476"/>
      <c r="U40" s="476"/>
      <c r="V40" s="477"/>
      <c r="W40" s="475"/>
      <c r="X40" s="476"/>
      <c r="Y40" s="476"/>
      <c r="Z40" s="476"/>
      <c r="AA40" s="476"/>
      <c r="AB40" s="476"/>
      <c r="AC40" s="476"/>
      <c r="AD40" s="476"/>
      <c r="AE40" s="476"/>
      <c r="AF40" s="476"/>
      <c r="AG40" s="476"/>
      <c r="AH40" s="476"/>
      <c r="AI40" s="476"/>
      <c r="AJ40" s="476"/>
      <c r="AK40" s="477"/>
      <c r="AL40" s="123"/>
      <c r="AM40" s="124"/>
      <c r="AN40" s="105"/>
      <c r="AO40" s="105"/>
    </row>
    <row r="41" spans="1:41" ht="14.25" customHeight="1">
      <c r="A41" s="105"/>
      <c r="B41" s="105"/>
      <c r="C41" s="109"/>
      <c r="D41" s="465"/>
      <c r="E41" s="466"/>
      <c r="F41" s="466"/>
      <c r="G41" s="467"/>
      <c r="H41" s="475"/>
      <c r="I41" s="476"/>
      <c r="J41" s="476"/>
      <c r="K41" s="476"/>
      <c r="L41" s="476"/>
      <c r="M41" s="476"/>
      <c r="N41" s="476"/>
      <c r="O41" s="476"/>
      <c r="P41" s="476"/>
      <c r="Q41" s="476"/>
      <c r="R41" s="476"/>
      <c r="S41" s="476"/>
      <c r="T41" s="476"/>
      <c r="U41" s="476"/>
      <c r="V41" s="477"/>
      <c r="W41" s="475"/>
      <c r="X41" s="476"/>
      <c r="Y41" s="476"/>
      <c r="Z41" s="476"/>
      <c r="AA41" s="476"/>
      <c r="AB41" s="476"/>
      <c r="AC41" s="476"/>
      <c r="AD41" s="476"/>
      <c r="AE41" s="476"/>
      <c r="AF41" s="476"/>
      <c r="AG41" s="476"/>
      <c r="AH41" s="476"/>
      <c r="AI41" s="476"/>
      <c r="AJ41" s="476"/>
      <c r="AK41" s="477"/>
      <c r="AL41" s="123"/>
      <c r="AM41" s="124"/>
      <c r="AN41" s="105"/>
      <c r="AO41" s="105"/>
    </row>
    <row r="42" spans="1:41" ht="14.25" customHeight="1">
      <c r="A42" s="105"/>
      <c r="B42" s="105"/>
      <c r="C42" s="109"/>
      <c r="D42" s="468"/>
      <c r="E42" s="469"/>
      <c r="F42" s="469"/>
      <c r="G42" s="470"/>
      <c r="H42" s="478"/>
      <c r="I42" s="479"/>
      <c r="J42" s="479"/>
      <c r="K42" s="479"/>
      <c r="L42" s="479"/>
      <c r="M42" s="479"/>
      <c r="N42" s="479"/>
      <c r="O42" s="479"/>
      <c r="P42" s="479"/>
      <c r="Q42" s="479"/>
      <c r="R42" s="479"/>
      <c r="S42" s="479"/>
      <c r="T42" s="479"/>
      <c r="U42" s="479"/>
      <c r="V42" s="480"/>
      <c r="W42" s="478"/>
      <c r="X42" s="479"/>
      <c r="Y42" s="479"/>
      <c r="Z42" s="479"/>
      <c r="AA42" s="479"/>
      <c r="AB42" s="479"/>
      <c r="AC42" s="479"/>
      <c r="AD42" s="479"/>
      <c r="AE42" s="479"/>
      <c r="AF42" s="479"/>
      <c r="AG42" s="479"/>
      <c r="AH42" s="479"/>
      <c r="AI42" s="479"/>
      <c r="AJ42" s="479"/>
      <c r="AK42" s="480"/>
      <c r="AL42" s="123"/>
      <c r="AM42" s="124"/>
      <c r="AN42" s="105"/>
      <c r="AO42" s="105"/>
    </row>
    <row r="43" spans="1:41" ht="14.25" customHeight="1">
      <c r="A43" s="105"/>
      <c r="B43" s="105"/>
      <c r="C43" s="109"/>
      <c r="D43" s="132"/>
      <c r="E43" s="132"/>
      <c r="F43" s="132"/>
      <c r="G43" s="132"/>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23"/>
      <c r="AM43" s="124"/>
      <c r="AN43" s="105"/>
      <c r="AO43" s="105"/>
    </row>
    <row r="44" spans="1:41" ht="14.25" customHeight="1">
      <c r="A44" s="105"/>
      <c r="B44" s="105"/>
      <c r="C44" s="109"/>
      <c r="D44" s="134" t="s">
        <v>138</v>
      </c>
      <c r="E44" s="135"/>
      <c r="F44" s="136"/>
      <c r="G44" s="136"/>
      <c r="H44" s="137"/>
      <c r="I44" s="137"/>
      <c r="J44" s="137"/>
      <c r="K44" s="137"/>
      <c r="L44" s="137"/>
      <c r="M44" s="137"/>
      <c r="N44" s="137"/>
      <c r="O44" s="138"/>
      <c r="P44" s="137"/>
      <c r="Q44" s="137"/>
      <c r="R44" s="137"/>
      <c r="S44" s="135"/>
      <c r="T44" s="136"/>
      <c r="U44" s="136"/>
      <c r="V44" s="136"/>
      <c r="W44" s="136"/>
      <c r="X44" s="136"/>
      <c r="Y44" s="136"/>
      <c r="Z44" s="136"/>
      <c r="AA44" s="136"/>
      <c r="AB44" s="136"/>
      <c r="AC44" s="136"/>
      <c r="AD44" s="137"/>
      <c r="AE44" s="137"/>
      <c r="AF44" s="137"/>
      <c r="AG44" s="137"/>
      <c r="AH44" s="137"/>
      <c r="AI44" s="137"/>
      <c r="AJ44" s="137"/>
      <c r="AK44" s="137"/>
      <c r="AL44" s="110"/>
      <c r="AM44" s="105"/>
      <c r="AN44" s="105"/>
      <c r="AO44" s="105"/>
    </row>
    <row r="45" spans="1:41" ht="14.25" customHeight="1">
      <c r="A45" s="105"/>
      <c r="B45" s="105"/>
      <c r="C45" s="109"/>
      <c r="D45" s="511" t="s">
        <v>139</v>
      </c>
      <c r="E45" s="511"/>
      <c r="F45" s="511"/>
      <c r="G45" s="511"/>
      <c r="H45" s="512"/>
      <c r="I45" s="513"/>
      <c r="J45" s="513"/>
      <c r="K45" s="513"/>
      <c r="L45" s="513"/>
      <c r="M45" s="513"/>
      <c r="N45" s="513"/>
      <c r="O45" s="513"/>
      <c r="P45" s="513"/>
      <c r="Q45" s="513"/>
      <c r="R45" s="513"/>
      <c r="S45" s="513"/>
      <c r="T45" s="513"/>
      <c r="U45" s="513"/>
      <c r="V45" s="513"/>
      <c r="W45" s="514"/>
      <c r="X45" s="521" t="s">
        <v>140</v>
      </c>
      <c r="Y45" s="522"/>
      <c r="Z45" s="522"/>
      <c r="AA45" s="522"/>
      <c r="AB45" s="522"/>
      <c r="AC45" s="522"/>
      <c r="AD45" s="523"/>
      <c r="AE45" s="453"/>
      <c r="AF45" s="454"/>
      <c r="AG45" s="454"/>
      <c r="AH45" s="454"/>
      <c r="AI45" s="454"/>
      <c r="AJ45" s="454"/>
      <c r="AK45" s="455"/>
      <c r="AL45" s="110"/>
      <c r="AM45" s="105"/>
      <c r="AN45" s="105"/>
      <c r="AO45" s="105"/>
    </row>
    <row r="46" spans="1:41" ht="14.25" customHeight="1">
      <c r="A46" s="105"/>
      <c r="B46" s="105"/>
      <c r="C46" s="109"/>
      <c r="D46" s="511"/>
      <c r="E46" s="511"/>
      <c r="F46" s="511"/>
      <c r="G46" s="511"/>
      <c r="H46" s="515"/>
      <c r="I46" s="516"/>
      <c r="J46" s="516"/>
      <c r="K46" s="516"/>
      <c r="L46" s="516"/>
      <c r="M46" s="516"/>
      <c r="N46" s="516"/>
      <c r="O46" s="516"/>
      <c r="P46" s="516"/>
      <c r="Q46" s="516"/>
      <c r="R46" s="516"/>
      <c r="S46" s="516"/>
      <c r="T46" s="516"/>
      <c r="U46" s="516"/>
      <c r="V46" s="516"/>
      <c r="W46" s="517"/>
      <c r="X46" s="524"/>
      <c r="Y46" s="525"/>
      <c r="Z46" s="525"/>
      <c r="AA46" s="525"/>
      <c r="AB46" s="525"/>
      <c r="AC46" s="525"/>
      <c r="AD46" s="526"/>
      <c r="AE46" s="456"/>
      <c r="AF46" s="457"/>
      <c r="AG46" s="457"/>
      <c r="AH46" s="457"/>
      <c r="AI46" s="457"/>
      <c r="AJ46" s="457"/>
      <c r="AK46" s="458"/>
      <c r="AL46" s="110"/>
      <c r="AM46" s="105"/>
      <c r="AN46" s="105"/>
      <c r="AO46" s="105"/>
    </row>
    <row r="47" spans="1:41" ht="14.25" customHeight="1">
      <c r="A47" s="105"/>
      <c r="B47" s="105"/>
      <c r="C47" s="109"/>
      <c r="D47" s="511"/>
      <c r="E47" s="511"/>
      <c r="F47" s="511"/>
      <c r="G47" s="511"/>
      <c r="H47" s="518"/>
      <c r="I47" s="519"/>
      <c r="J47" s="519"/>
      <c r="K47" s="519"/>
      <c r="L47" s="519"/>
      <c r="M47" s="519"/>
      <c r="N47" s="519"/>
      <c r="O47" s="519"/>
      <c r="P47" s="519"/>
      <c r="Q47" s="519"/>
      <c r="R47" s="519"/>
      <c r="S47" s="519"/>
      <c r="T47" s="519"/>
      <c r="U47" s="519"/>
      <c r="V47" s="519"/>
      <c r="W47" s="520"/>
      <c r="X47" s="527"/>
      <c r="Y47" s="528"/>
      <c r="Z47" s="528"/>
      <c r="AA47" s="528"/>
      <c r="AB47" s="528"/>
      <c r="AC47" s="528"/>
      <c r="AD47" s="529"/>
      <c r="AE47" s="459"/>
      <c r="AF47" s="460"/>
      <c r="AG47" s="460"/>
      <c r="AH47" s="460"/>
      <c r="AI47" s="460"/>
      <c r="AJ47" s="460"/>
      <c r="AK47" s="461"/>
      <c r="AL47" s="110"/>
      <c r="AM47" s="105"/>
      <c r="AN47" s="105"/>
      <c r="AO47" s="105"/>
    </row>
    <row r="48" spans="1:41" ht="14.25" customHeight="1">
      <c r="A48" s="105"/>
      <c r="B48" s="105"/>
      <c r="C48" s="109"/>
      <c r="D48" s="511" t="s">
        <v>127</v>
      </c>
      <c r="E48" s="511"/>
      <c r="F48" s="511"/>
      <c r="G48" s="511"/>
      <c r="H48" s="453"/>
      <c r="I48" s="454"/>
      <c r="J48" s="454"/>
      <c r="K48" s="454"/>
      <c r="L48" s="454"/>
      <c r="M48" s="454"/>
      <c r="N48" s="454"/>
      <c r="O48" s="454"/>
      <c r="P48" s="454"/>
      <c r="Q48" s="454"/>
      <c r="R48" s="454"/>
      <c r="S48" s="454"/>
      <c r="T48" s="454"/>
      <c r="U48" s="454"/>
      <c r="V48" s="454"/>
      <c r="W48" s="454"/>
      <c r="X48" s="454"/>
      <c r="Y48" s="454"/>
      <c r="Z48" s="454"/>
      <c r="AA48" s="454"/>
      <c r="AB48" s="454"/>
      <c r="AC48" s="454"/>
      <c r="AD48" s="454"/>
      <c r="AE48" s="454"/>
      <c r="AF48" s="454"/>
      <c r="AG48" s="454"/>
      <c r="AH48" s="454"/>
      <c r="AI48" s="454"/>
      <c r="AJ48" s="454"/>
      <c r="AK48" s="455"/>
      <c r="AL48" s="122"/>
      <c r="AM48" s="117"/>
      <c r="AN48" s="105"/>
      <c r="AO48" s="105"/>
    </row>
    <row r="49" spans="1:41" ht="14.25" customHeight="1">
      <c r="A49" s="105"/>
      <c r="B49" s="105"/>
      <c r="C49" s="109"/>
      <c r="D49" s="511"/>
      <c r="E49" s="511"/>
      <c r="F49" s="511"/>
      <c r="G49" s="511"/>
      <c r="H49" s="456"/>
      <c r="I49" s="457"/>
      <c r="J49" s="457"/>
      <c r="K49" s="457"/>
      <c r="L49" s="457"/>
      <c r="M49" s="457"/>
      <c r="N49" s="457"/>
      <c r="O49" s="457"/>
      <c r="P49" s="457"/>
      <c r="Q49" s="457"/>
      <c r="R49" s="457"/>
      <c r="S49" s="457"/>
      <c r="T49" s="457"/>
      <c r="U49" s="457"/>
      <c r="V49" s="457"/>
      <c r="W49" s="457"/>
      <c r="X49" s="457"/>
      <c r="Y49" s="457"/>
      <c r="Z49" s="457"/>
      <c r="AA49" s="457"/>
      <c r="AB49" s="457"/>
      <c r="AC49" s="457"/>
      <c r="AD49" s="457"/>
      <c r="AE49" s="457"/>
      <c r="AF49" s="457"/>
      <c r="AG49" s="457"/>
      <c r="AH49" s="457"/>
      <c r="AI49" s="457"/>
      <c r="AJ49" s="457"/>
      <c r="AK49" s="458"/>
      <c r="AL49" s="122"/>
      <c r="AM49" s="117"/>
      <c r="AN49" s="105"/>
      <c r="AO49" s="105"/>
    </row>
    <row r="50" spans="1:41" ht="14.25" customHeight="1">
      <c r="A50" s="105"/>
      <c r="B50" s="105"/>
      <c r="C50" s="109"/>
      <c r="D50" s="511"/>
      <c r="E50" s="511"/>
      <c r="F50" s="511"/>
      <c r="G50" s="511"/>
      <c r="H50" s="456"/>
      <c r="I50" s="457"/>
      <c r="J50" s="457"/>
      <c r="K50" s="457"/>
      <c r="L50" s="457"/>
      <c r="M50" s="457"/>
      <c r="N50" s="457"/>
      <c r="O50" s="457"/>
      <c r="P50" s="457"/>
      <c r="Q50" s="457"/>
      <c r="R50" s="457"/>
      <c r="S50" s="457"/>
      <c r="T50" s="457"/>
      <c r="U50" s="457"/>
      <c r="V50" s="457"/>
      <c r="W50" s="457"/>
      <c r="X50" s="457"/>
      <c r="Y50" s="457"/>
      <c r="Z50" s="457"/>
      <c r="AA50" s="457"/>
      <c r="AB50" s="457"/>
      <c r="AC50" s="457"/>
      <c r="AD50" s="457"/>
      <c r="AE50" s="457"/>
      <c r="AF50" s="457"/>
      <c r="AG50" s="457"/>
      <c r="AH50" s="457"/>
      <c r="AI50" s="457"/>
      <c r="AJ50" s="457"/>
      <c r="AK50" s="458"/>
      <c r="AL50" s="122"/>
      <c r="AM50" s="117"/>
      <c r="AN50" s="105"/>
      <c r="AO50" s="105"/>
    </row>
    <row r="51" spans="1:41" ht="14.25" customHeight="1">
      <c r="A51" s="105"/>
      <c r="B51" s="105"/>
      <c r="C51" s="109"/>
      <c r="D51" s="511"/>
      <c r="E51" s="511"/>
      <c r="F51" s="511"/>
      <c r="G51" s="511"/>
      <c r="H51" s="456"/>
      <c r="I51" s="457"/>
      <c r="J51" s="457"/>
      <c r="K51" s="457"/>
      <c r="L51" s="457"/>
      <c r="M51" s="457"/>
      <c r="N51" s="457"/>
      <c r="O51" s="457"/>
      <c r="P51" s="457"/>
      <c r="Q51" s="457"/>
      <c r="R51" s="457"/>
      <c r="S51" s="457"/>
      <c r="T51" s="457"/>
      <c r="U51" s="457"/>
      <c r="V51" s="457"/>
      <c r="W51" s="457"/>
      <c r="X51" s="457"/>
      <c r="Y51" s="457"/>
      <c r="Z51" s="457"/>
      <c r="AA51" s="457"/>
      <c r="AB51" s="457"/>
      <c r="AC51" s="457"/>
      <c r="AD51" s="457"/>
      <c r="AE51" s="457"/>
      <c r="AF51" s="457"/>
      <c r="AG51" s="457"/>
      <c r="AH51" s="457"/>
      <c r="AI51" s="457"/>
      <c r="AJ51" s="457"/>
      <c r="AK51" s="458"/>
      <c r="AL51" s="122"/>
      <c r="AM51" s="117"/>
      <c r="AN51" s="105"/>
      <c r="AO51" s="105"/>
    </row>
    <row r="52" spans="1:41" ht="14.25" customHeight="1">
      <c r="A52" s="105"/>
      <c r="B52" s="105"/>
      <c r="C52" s="109"/>
      <c r="D52" s="511"/>
      <c r="E52" s="511"/>
      <c r="F52" s="511"/>
      <c r="G52" s="511"/>
      <c r="H52" s="459"/>
      <c r="I52" s="460"/>
      <c r="J52" s="460"/>
      <c r="K52" s="460"/>
      <c r="L52" s="460"/>
      <c r="M52" s="460"/>
      <c r="N52" s="460"/>
      <c r="O52" s="460"/>
      <c r="P52" s="460"/>
      <c r="Q52" s="460"/>
      <c r="R52" s="460"/>
      <c r="S52" s="460"/>
      <c r="T52" s="460"/>
      <c r="U52" s="460"/>
      <c r="V52" s="460"/>
      <c r="W52" s="460"/>
      <c r="X52" s="460"/>
      <c r="Y52" s="460"/>
      <c r="Z52" s="460"/>
      <c r="AA52" s="460"/>
      <c r="AB52" s="460"/>
      <c r="AC52" s="460"/>
      <c r="AD52" s="460"/>
      <c r="AE52" s="460"/>
      <c r="AF52" s="460"/>
      <c r="AG52" s="460"/>
      <c r="AH52" s="460"/>
      <c r="AI52" s="460"/>
      <c r="AJ52" s="460"/>
      <c r="AK52" s="461"/>
      <c r="AL52" s="122"/>
      <c r="AM52" s="117"/>
      <c r="AN52" s="105"/>
      <c r="AO52" s="105"/>
    </row>
    <row r="53" spans="1:41" ht="14.25" customHeight="1">
      <c r="A53" s="105"/>
      <c r="B53" s="105"/>
      <c r="C53" s="109"/>
      <c r="D53" s="462" t="s">
        <v>128</v>
      </c>
      <c r="E53" s="463"/>
      <c r="F53" s="463"/>
      <c r="G53" s="464"/>
      <c r="H53" s="484"/>
      <c r="I53" s="485"/>
      <c r="J53" s="485"/>
      <c r="K53" s="485"/>
      <c r="L53" s="485"/>
      <c r="M53" s="485"/>
      <c r="N53" s="485"/>
      <c r="O53" s="485"/>
      <c r="P53" s="485"/>
      <c r="Q53" s="485"/>
      <c r="R53" s="485"/>
      <c r="S53" s="485"/>
      <c r="T53" s="485"/>
      <c r="U53" s="485"/>
      <c r="V53" s="485"/>
      <c r="W53" s="485"/>
      <c r="X53" s="485"/>
      <c r="Y53" s="485"/>
      <c r="Z53" s="485"/>
      <c r="AA53" s="485"/>
      <c r="AB53" s="485"/>
      <c r="AC53" s="485"/>
      <c r="AD53" s="485"/>
      <c r="AE53" s="485"/>
      <c r="AF53" s="485"/>
      <c r="AG53" s="485"/>
      <c r="AH53" s="485"/>
      <c r="AI53" s="485"/>
      <c r="AJ53" s="485"/>
      <c r="AK53" s="486"/>
      <c r="AL53" s="123"/>
      <c r="AM53" s="124"/>
      <c r="AN53" s="105"/>
      <c r="AO53" s="105"/>
    </row>
    <row r="54" spans="1:41" ht="14.25" customHeight="1">
      <c r="A54" s="105"/>
      <c r="B54" s="105"/>
      <c r="C54" s="109"/>
      <c r="D54" s="465"/>
      <c r="E54" s="466"/>
      <c r="F54" s="466"/>
      <c r="G54" s="467"/>
      <c r="H54" s="487"/>
      <c r="I54" s="488"/>
      <c r="J54" s="488"/>
      <c r="K54" s="488"/>
      <c r="L54" s="488"/>
      <c r="M54" s="488"/>
      <c r="N54" s="488"/>
      <c r="O54" s="488"/>
      <c r="P54" s="488"/>
      <c r="Q54" s="488"/>
      <c r="R54" s="488"/>
      <c r="S54" s="488"/>
      <c r="T54" s="488"/>
      <c r="U54" s="488"/>
      <c r="V54" s="488"/>
      <c r="W54" s="488"/>
      <c r="X54" s="488"/>
      <c r="Y54" s="488"/>
      <c r="Z54" s="488"/>
      <c r="AA54" s="488"/>
      <c r="AB54" s="488"/>
      <c r="AC54" s="488"/>
      <c r="AD54" s="488"/>
      <c r="AE54" s="488"/>
      <c r="AF54" s="488"/>
      <c r="AG54" s="488"/>
      <c r="AH54" s="488"/>
      <c r="AI54" s="488"/>
      <c r="AJ54" s="488"/>
      <c r="AK54" s="489"/>
      <c r="AL54" s="123"/>
      <c r="AM54" s="124"/>
      <c r="AN54" s="105"/>
      <c r="AO54" s="105"/>
    </row>
    <row r="55" spans="1:41" ht="14.25" customHeight="1">
      <c r="A55" s="105"/>
      <c r="B55" s="105"/>
      <c r="C55" s="109"/>
      <c r="D55" s="468"/>
      <c r="E55" s="469"/>
      <c r="F55" s="469"/>
      <c r="G55" s="470"/>
      <c r="H55" s="490"/>
      <c r="I55" s="491"/>
      <c r="J55" s="491"/>
      <c r="K55" s="491"/>
      <c r="L55" s="491"/>
      <c r="M55" s="491"/>
      <c r="N55" s="491"/>
      <c r="O55" s="491"/>
      <c r="P55" s="491"/>
      <c r="Q55" s="491"/>
      <c r="R55" s="491"/>
      <c r="S55" s="491"/>
      <c r="T55" s="491"/>
      <c r="U55" s="491"/>
      <c r="V55" s="491"/>
      <c r="W55" s="491"/>
      <c r="X55" s="491"/>
      <c r="Y55" s="491"/>
      <c r="Z55" s="491"/>
      <c r="AA55" s="491"/>
      <c r="AB55" s="491"/>
      <c r="AC55" s="491"/>
      <c r="AD55" s="491"/>
      <c r="AE55" s="491"/>
      <c r="AF55" s="491"/>
      <c r="AG55" s="491"/>
      <c r="AH55" s="491"/>
      <c r="AI55" s="491"/>
      <c r="AJ55" s="491"/>
      <c r="AK55" s="492"/>
      <c r="AL55" s="123"/>
      <c r="AM55" s="124"/>
      <c r="AN55" s="105"/>
      <c r="AO55" s="105"/>
    </row>
    <row r="56" spans="1:41" ht="14.25" customHeight="1">
      <c r="A56" s="105"/>
      <c r="B56" s="105"/>
      <c r="C56" s="109"/>
      <c r="D56" s="139"/>
      <c r="E56" s="139"/>
      <c r="F56" s="139"/>
      <c r="G56" s="139"/>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0"/>
      <c r="AG56" s="140"/>
      <c r="AH56" s="140"/>
      <c r="AI56" s="140"/>
      <c r="AJ56" s="140"/>
      <c r="AK56" s="140"/>
      <c r="AL56" s="123"/>
      <c r="AM56" s="124"/>
      <c r="AN56" s="105"/>
      <c r="AO56" s="105"/>
    </row>
    <row r="57" spans="1:41" ht="14.25" customHeight="1">
      <c r="A57" s="105"/>
      <c r="B57" s="105"/>
      <c r="C57" s="109"/>
      <c r="D57" s="130"/>
      <c r="E57" s="130"/>
      <c r="F57" s="130"/>
      <c r="G57" s="130"/>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c r="AL57" s="123"/>
      <c r="AM57" s="124"/>
      <c r="AN57" s="105"/>
      <c r="AO57" s="105"/>
    </row>
    <row r="58" spans="1:41" ht="14.25" customHeight="1">
      <c r="A58" s="105"/>
      <c r="B58" s="105"/>
      <c r="C58" s="109"/>
      <c r="D58" s="141" t="s">
        <v>129</v>
      </c>
      <c r="E58" s="126" t="s">
        <v>141</v>
      </c>
      <c r="F58" s="130"/>
      <c r="G58" s="130"/>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c r="AL58" s="123"/>
      <c r="AM58" s="124"/>
      <c r="AN58" s="105"/>
      <c r="AO58" s="105"/>
    </row>
    <row r="59" spans="1:41" ht="14.25" customHeight="1">
      <c r="A59" s="105"/>
      <c r="B59" s="105"/>
      <c r="C59" s="109"/>
      <c r="D59" s="493" t="s">
        <v>142</v>
      </c>
      <c r="E59" s="494"/>
      <c r="F59" s="494"/>
      <c r="G59" s="494"/>
      <c r="H59" s="494"/>
      <c r="I59" s="494"/>
      <c r="J59" s="494"/>
      <c r="K59" s="494"/>
      <c r="L59" s="494"/>
      <c r="M59" s="494"/>
      <c r="N59" s="494"/>
      <c r="O59" s="494"/>
      <c r="P59" s="494"/>
      <c r="Q59" s="494"/>
      <c r="R59" s="494"/>
      <c r="S59" s="494"/>
      <c r="T59" s="494"/>
      <c r="U59" s="494"/>
      <c r="V59" s="495"/>
      <c r="W59" s="496" t="s">
        <v>143</v>
      </c>
      <c r="X59" s="497"/>
      <c r="Y59" s="497"/>
      <c r="Z59" s="497"/>
      <c r="AA59" s="497"/>
      <c r="AB59" s="497"/>
      <c r="AC59" s="497"/>
      <c r="AD59" s="497"/>
      <c r="AE59" s="497"/>
      <c r="AF59" s="497"/>
      <c r="AG59" s="497"/>
      <c r="AH59" s="497"/>
      <c r="AI59" s="497"/>
      <c r="AJ59" s="497"/>
      <c r="AK59" s="498"/>
      <c r="AL59" s="123"/>
      <c r="AM59" s="124"/>
      <c r="AN59" s="105"/>
      <c r="AO59" s="105"/>
    </row>
    <row r="60" spans="1:41" ht="14.25" customHeight="1">
      <c r="A60" s="105"/>
      <c r="B60" s="105"/>
      <c r="C60" s="109"/>
      <c r="D60" s="499"/>
      <c r="E60" s="500"/>
      <c r="F60" s="500"/>
      <c r="G60" s="500"/>
      <c r="H60" s="500"/>
      <c r="I60" s="500"/>
      <c r="J60" s="500"/>
      <c r="K60" s="500"/>
      <c r="L60" s="500"/>
      <c r="M60" s="500"/>
      <c r="N60" s="500"/>
      <c r="O60" s="500"/>
      <c r="P60" s="500"/>
      <c r="Q60" s="500"/>
      <c r="R60" s="500"/>
      <c r="S60" s="500"/>
      <c r="T60" s="500"/>
      <c r="U60" s="500"/>
      <c r="V60" s="501"/>
      <c r="W60" s="505" t="s">
        <v>121</v>
      </c>
      <c r="X60" s="506"/>
      <c r="Y60" s="506"/>
      <c r="Z60" s="506"/>
      <c r="AA60" s="506"/>
      <c r="AB60" s="506"/>
      <c r="AC60" s="506"/>
      <c r="AD60" s="506"/>
      <c r="AE60" s="506"/>
      <c r="AF60" s="506"/>
      <c r="AG60" s="506"/>
      <c r="AH60" s="506"/>
      <c r="AI60" s="506"/>
      <c r="AJ60" s="506"/>
      <c r="AK60" s="507"/>
      <c r="AL60" s="123"/>
      <c r="AM60" s="124"/>
      <c r="AN60" s="105"/>
      <c r="AO60" s="105"/>
    </row>
    <row r="61" spans="1:41" ht="14.25" customHeight="1">
      <c r="A61" s="105"/>
      <c r="B61" s="105"/>
      <c r="C61" s="109"/>
      <c r="D61" s="502"/>
      <c r="E61" s="503"/>
      <c r="F61" s="503"/>
      <c r="G61" s="503"/>
      <c r="H61" s="503"/>
      <c r="I61" s="503"/>
      <c r="J61" s="503"/>
      <c r="K61" s="503"/>
      <c r="L61" s="503"/>
      <c r="M61" s="503"/>
      <c r="N61" s="503"/>
      <c r="O61" s="503"/>
      <c r="P61" s="503"/>
      <c r="Q61" s="503"/>
      <c r="R61" s="503"/>
      <c r="S61" s="503"/>
      <c r="T61" s="503"/>
      <c r="U61" s="503"/>
      <c r="V61" s="504"/>
      <c r="W61" s="508"/>
      <c r="X61" s="509"/>
      <c r="Y61" s="509"/>
      <c r="Z61" s="509"/>
      <c r="AA61" s="509"/>
      <c r="AB61" s="509"/>
      <c r="AC61" s="509"/>
      <c r="AD61" s="509"/>
      <c r="AE61" s="509"/>
      <c r="AF61" s="509"/>
      <c r="AG61" s="509"/>
      <c r="AH61" s="509"/>
      <c r="AI61" s="509"/>
      <c r="AJ61" s="509"/>
      <c r="AK61" s="510"/>
      <c r="AL61" s="123"/>
      <c r="AM61" s="124"/>
      <c r="AN61" s="105"/>
      <c r="AO61" s="105"/>
    </row>
    <row r="62" spans="1:41">
      <c r="A62" s="105"/>
      <c r="B62" s="105"/>
      <c r="C62" s="109"/>
      <c r="D62" s="481"/>
      <c r="E62" s="482"/>
      <c r="F62" s="482"/>
      <c r="G62" s="482"/>
      <c r="H62" s="482"/>
      <c r="I62" s="482"/>
      <c r="J62" s="482"/>
      <c r="K62" s="482"/>
      <c r="L62" s="482"/>
      <c r="M62" s="482"/>
      <c r="N62" s="482"/>
      <c r="O62" s="482"/>
      <c r="P62" s="482"/>
      <c r="Q62" s="482"/>
      <c r="R62" s="482"/>
      <c r="S62" s="482"/>
      <c r="T62" s="482"/>
      <c r="U62" s="482"/>
      <c r="V62" s="482"/>
      <c r="W62" s="482"/>
      <c r="X62" s="482"/>
      <c r="Y62" s="482"/>
      <c r="Z62" s="482"/>
      <c r="AA62" s="482"/>
      <c r="AB62" s="482"/>
      <c r="AC62" s="482"/>
      <c r="AD62" s="482"/>
      <c r="AE62" s="482"/>
      <c r="AF62" s="482"/>
      <c r="AG62" s="482"/>
      <c r="AH62" s="482"/>
      <c r="AI62" s="482"/>
      <c r="AJ62" s="482"/>
      <c r="AK62" s="482"/>
      <c r="AL62" s="142"/>
      <c r="AM62" s="143"/>
      <c r="AN62" s="105"/>
    </row>
    <row r="63" spans="1:41">
      <c r="C63" s="111"/>
      <c r="D63" s="125" t="s">
        <v>144</v>
      </c>
      <c r="E63" s="112"/>
      <c r="F63" s="112"/>
      <c r="G63" s="112"/>
      <c r="H63" s="112"/>
      <c r="I63" s="112"/>
      <c r="J63" s="112"/>
      <c r="K63" s="112"/>
      <c r="L63" s="112"/>
      <c r="M63" s="112"/>
      <c r="N63" s="112"/>
      <c r="O63" s="112"/>
      <c r="P63" s="112"/>
      <c r="Q63" s="112"/>
      <c r="R63" s="112"/>
      <c r="S63" s="112"/>
      <c r="T63" s="112"/>
      <c r="U63" s="112"/>
      <c r="V63" s="112"/>
      <c r="W63" s="112"/>
      <c r="X63" s="112"/>
      <c r="Y63" s="112"/>
      <c r="Z63" s="112"/>
      <c r="AA63" s="112"/>
      <c r="AB63" s="112"/>
      <c r="AC63" s="112"/>
      <c r="AD63" s="112"/>
      <c r="AE63" s="112"/>
      <c r="AF63" s="112"/>
      <c r="AG63" s="112"/>
      <c r="AH63" s="112"/>
      <c r="AI63" s="112"/>
      <c r="AJ63" s="112"/>
      <c r="AK63" s="112"/>
      <c r="AL63" s="144"/>
    </row>
    <row r="64" spans="1:41" ht="7.5" customHeight="1">
      <c r="C64" s="145"/>
      <c r="D64" s="146"/>
      <c r="E64" s="146"/>
      <c r="F64" s="146"/>
      <c r="G64" s="146"/>
      <c r="H64" s="146"/>
      <c r="I64" s="146"/>
      <c r="J64" s="146"/>
      <c r="K64" s="146"/>
      <c r="L64" s="146"/>
      <c r="M64" s="146"/>
      <c r="N64" s="146"/>
      <c r="O64" s="146"/>
      <c r="P64" s="146"/>
      <c r="Q64" s="146"/>
      <c r="R64" s="146"/>
      <c r="S64" s="146"/>
      <c r="T64" s="146"/>
      <c r="U64" s="146"/>
      <c r="V64" s="146"/>
      <c r="W64" s="146"/>
      <c r="X64" s="146"/>
      <c r="Y64" s="146"/>
      <c r="Z64" s="146"/>
      <c r="AA64" s="146"/>
      <c r="AB64" s="146"/>
      <c r="AC64" s="146"/>
      <c r="AD64" s="146"/>
      <c r="AE64" s="146"/>
      <c r="AF64" s="146"/>
      <c r="AG64" s="146"/>
      <c r="AH64" s="146"/>
      <c r="AI64" s="146"/>
      <c r="AJ64" s="146"/>
      <c r="AK64" s="146"/>
      <c r="AL64" s="147"/>
    </row>
  </sheetData>
  <customSheetViews>
    <customSheetView guid="{A35F5B98-9B94-4847-B111-5994565B2C90}" scale="60" showPageBreaks="1" printArea="1" view="pageBreakPreview">
      <selection activeCell="H20" sqref="H20:AK25"/>
      <pageMargins left="0.7" right="0.7" top="0.75" bottom="0.75" header="0.3" footer="0.3"/>
      <pageSetup paperSize="9" scale="76" orientation="portrait" r:id="rId1"/>
    </customSheetView>
    <customSheetView guid="{B49FCE62-7203-4C34-A051-738DE884AD97}" scale="60" showPageBreaks="1" printArea="1" view="pageBreakPreview">
      <selection activeCell="H20" sqref="H20:AK25"/>
      <pageMargins left="0.7" right="0.7" top="0.75" bottom="0.75" header="0.3" footer="0.3"/>
      <pageSetup paperSize="9" scale="76" orientation="portrait" r:id="rId2"/>
    </customSheetView>
  </customSheetViews>
  <mergeCells count="40">
    <mergeCell ref="I5:AF5"/>
    <mergeCell ref="I6:AF6"/>
    <mergeCell ref="I7:AF7"/>
    <mergeCell ref="I8:AF8"/>
    <mergeCell ref="I9:AF9"/>
    <mergeCell ref="D13:G16"/>
    <mergeCell ref="H13:O16"/>
    <mergeCell ref="P13:S16"/>
    <mergeCell ref="T13:AD16"/>
    <mergeCell ref="AE13:AG16"/>
    <mergeCell ref="D17:G19"/>
    <mergeCell ref="H17:AK19"/>
    <mergeCell ref="D20:G25"/>
    <mergeCell ref="H20:AK25"/>
    <mergeCell ref="D26:G29"/>
    <mergeCell ref="H26:AK29"/>
    <mergeCell ref="D62:AK62"/>
    <mergeCell ref="AD12:AK12"/>
    <mergeCell ref="D53:G55"/>
    <mergeCell ref="H53:AK55"/>
    <mergeCell ref="D59:V59"/>
    <mergeCell ref="W59:AK59"/>
    <mergeCell ref="D60:V61"/>
    <mergeCell ref="W60:AK61"/>
    <mergeCell ref="D45:G47"/>
    <mergeCell ref="H45:W47"/>
    <mergeCell ref="X45:AD47"/>
    <mergeCell ref="AE45:AK47"/>
    <mergeCell ref="D48:G52"/>
    <mergeCell ref="H39:V42"/>
    <mergeCell ref="W39:AK42"/>
    <mergeCell ref="AH13:AK16"/>
    <mergeCell ref="H48:AK52"/>
    <mergeCell ref="D33:G42"/>
    <mergeCell ref="H33:V33"/>
    <mergeCell ref="W34:AK37"/>
    <mergeCell ref="H38:V38"/>
    <mergeCell ref="W38:AK38"/>
    <mergeCell ref="W33:AK33"/>
    <mergeCell ref="H34:V37"/>
  </mergeCells>
  <phoneticPr fontId="18"/>
  <pageMargins left="0.7" right="0.7" top="0.75" bottom="0.75" header="0.3" footer="0.3"/>
  <pageSetup paperSize="9" scale="66"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C2:AB77"/>
  <sheetViews>
    <sheetView view="pageBreakPreview" zoomScale="115" zoomScaleNormal="100" zoomScaleSheetLayoutView="115" workbookViewId="0">
      <selection activeCell="G22" sqref="G22:L24"/>
    </sheetView>
  </sheetViews>
  <sheetFormatPr defaultColWidth="9" defaultRowHeight="9.5"/>
  <cols>
    <col min="1" max="1" width="9" style="251"/>
    <col min="2" max="2" width="2.08203125" style="251" customWidth="1"/>
    <col min="3" max="4" width="4.5" style="251" customWidth="1"/>
    <col min="5" max="5" width="2.58203125" style="251" customWidth="1"/>
    <col min="6" max="6" width="8.5" style="251" customWidth="1"/>
    <col min="7" max="23" width="2.58203125" style="251" customWidth="1"/>
    <col min="24" max="25" width="4.5" style="251" customWidth="1"/>
    <col min="26" max="26" width="0.58203125" style="251" customWidth="1"/>
    <col min="27" max="27" width="2.08203125" style="251" customWidth="1"/>
    <col min="28" max="16384" width="9" style="251"/>
  </cols>
  <sheetData>
    <row r="2" spans="3:25" ht="6.75" customHeight="1"/>
    <row r="3" spans="3:25" ht="10.5" customHeight="1">
      <c r="C3" s="252"/>
      <c r="D3" s="176"/>
      <c r="E3" s="176"/>
      <c r="F3" s="176"/>
      <c r="G3" s="176"/>
      <c r="H3" s="176"/>
      <c r="I3" s="176"/>
      <c r="J3" s="176"/>
      <c r="K3" s="176"/>
      <c r="L3" s="176"/>
      <c r="M3" s="176"/>
      <c r="N3" s="176"/>
      <c r="O3" s="176"/>
      <c r="P3" s="176"/>
      <c r="Q3" s="176"/>
      <c r="R3" s="176"/>
      <c r="S3" s="176"/>
      <c r="T3" s="176"/>
      <c r="U3" s="176"/>
      <c r="V3" s="176"/>
      <c r="W3" s="176"/>
      <c r="X3" s="176"/>
      <c r="Y3" s="253"/>
    </row>
    <row r="4" spans="3:25" ht="14.25" customHeight="1">
      <c r="C4" s="254"/>
      <c r="D4" s="255"/>
      <c r="E4" s="160" t="s">
        <v>230</v>
      </c>
      <c r="F4" s="255"/>
      <c r="G4" s="255"/>
      <c r="H4" s="255"/>
      <c r="I4" s="255"/>
      <c r="J4" s="255"/>
      <c r="K4" s="255"/>
      <c r="L4" s="255"/>
      <c r="M4" s="255"/>
      <c r="N4" s="255"/>
      <c r="O4" s="255"/>
      <c r="P4" s="255"/>
      <c r="Q4" s="255"/>
      <c r="R4" s="255"/>
      <c r="S4" s="255"/>
      <c r="T4" s="255"/>
      <c r="U4" s="255"/>
      <c r="V4" s="255"/>
      <c r="W4" s="255"/>
      <c r="X4" s="160"/>
      <c r="Y4" s="256"/>
    </row>
    <row r="5" spans="3:25" ht="6" customHeight="1">
      <c r="C5" s="254"/>
      <c r="D5" s="255"/>
      <c r="E5" s="105"/>
      <c r="F5" s="255"/>
      <c r="G5" s="255"/>
      <c r="H5" s="255"/>
      <c r="I5" s="255"/>
      <c r="J5" s="255"/>
      <c r="K5" s="255"/>
      <c r="L5" s="255"/>
      <c r="M5" s="255"/>
      <c r="N5" s="255"/>
      <c r="O5" s="255"/>
      <c r="P5" s="255"/>
      <c r="Q5" s="255"/>
      <c r="R5" s="255"/>
      <c r="S5" s="255"/>
      <c r="T5" s="255"/>
      <c r="U5" s="255"/>
      <c r="V5" s="255"/>
      <c r="W5" s="255"/>
      <c r="X5" s="160"/>
      <c r="Y5" s="256"/>
    </row>
    <row r="6" spans="3:25" ht="15" customHeight="1">
      <c r="C6" s="254"/>
      <c r="D6" s="255"/>
      <c r="E6" s="669" t="s">
        <v>231</v>
      </c>
      <c r="F6" s="669"/>
      <c r="G6" s="669"/>
      <c r="H6" s="669"/>
      <c r="I6" s="669"/>
      <c r="J6" s="669"/>
      <c r="K6" s="669"/>
      <c r="L6" s="669"/>
      <c r="M6" s="669"/>
      <c r="N6" s="669"/>
      <c r="O6" s="669"/>
      <c r="P6" s="669"/>
      <c r="Q6" s="669"/>
      <c r="R6" s="669"/>
      <c r="S6" s="669"/>
      <c r="T6" s="669"/>
      <c r="U6" s="669"/>
      <c r="V6" s="669"/>
      <c r="W6" s="669"/>
      <c r="X6" s="160"/>
      <c r="Y6" s="256"/>
    </row>
    <row r="7" spans="3:25" ht="10.5" customHeight="1">
      <c r="C7" s="254"/>
      <c r="D7" s="255"/>
      <c r="E7" s="255"/>
      <c r="F7" s="255"/>
      <c r="G7" s="255"/>
      <c r="H7" s="255"/>
      <c r="I7" s="257"/>
      <c r="J7" s="258"/>
      <c r="K7" s="259"/>
      <c r="L7" s="259"/>
      <c r="M7" s="259"/>
      <c r="N7" s="259"/>
      <c r="O7" s="259"/>
      <c r="P7" s="259"/>
      <c r="Q7" s="259"/>
      <c r="R7" s="259"/>
      <c r="S7" s="255"/>
      <c r="T7" s="255"/>
      <c r="U7" s="255"/>
      <c r="V7" s="255"/>
      <c r="W7" s="255"/>
      <c r="X7" s="160"/>
      <c r="Y7" s="256"/>
    </row>
    <row r="8" spans="3:25" ht="10.5" customHeight="1">
      <c r="C8" s="254"/>
      <c r="D8" s="255"/>
      <c r="E8" s="260" t="s">
        <v>232</v>
      </c>
      <c r="F8" s="255" t="s">
        <v>233</v>
      </c>
      <c r="G8" s="255"/>
      <c r="H8" s="255"/>
      <c r="I8" s="255"/>
      <c r="J8" s="255"/>
      <c r="K8" s="255"/>
      <c r="L8" s="255"/>
      <c r="M8" s="255"/>
      <c r="N8" s="255"/>
      <c r="O8" s="255"/>
      <c r="P8" s="255"/>
      <c r="Q8" s="255"/>
      <c r="R8" s="255"/>
      <c r="S8" s="255"/>
      <c r="T8" s="255"/>
      <c r="U8" s="255"/>
      <c r="V8" s="255"/>
      <c r="W8" s="255"/>
      <c r="X8" s="160"/>
      <c r="Y8" s="256"/>
    </row>
    <row r="9" spans="3:25" ht="20.25" customHeight="1">
      <c r="C9" s="254"/>
      <c r="D9" s="255"/>
      <c r="E9" s="605" t="s">
        <v>234</v>
      </c>
      <c r="F9" s="670"/>
      <c r="G9" s="670"/>
      <c r="H9" s="670"/>
      <c r="I9" s="670"/>
      <c r="J9" s="670"/>
      <c r="K9" s="670"/>
      <c r="L9" s="670"/>
      <c r="M9" s="670"/>
      <c r="N9" s="670"/>
      <c r="O9" s="670"/>
      <c r="P9" s="670"/>
      <c r="Q9" s="670"/>
      <c r="R9" s="670"/>
      <c r="S9" s="670"/>
      <c r="T9" s="670"/>
      <c r="U9" s="670"/>
      <c r="V9" s="670"/>
      <c r="W9" s="670"/>
      <c r="X9" s="160"/>
      <c r="Y9" s="256"/>
    </row>
    <row r="10" spans="3:25" ht="8.5" customHeight="1">
      <c r="C10" s="254"/>
      <c r="D10" s="255"/>
      <c r="E10" s="671" t="s">
        <v>235</v>
      </c>
      <c r="F10" s="672"/>
      <c r="G10" s="666" t="str">
        <f>証明書!C13</f>
        <v>オツカワ　ジロウ</v>
      </c>
      <c r="H10" s="667"/>
      <c r="I10" s="667"/>
      <c r="J10" s="667"/>
      <c r="K10" s="667"/>
      <c r="L10" s="667"/>
      <c r="M10" s="667"/>
      <c r="N10" s="667"/>
      <c r="O10" s="667"/>
      <c r="P10" s="667"/>
      <c r="Q10" s="667"/>
      <c r="R10" s="667"/>
      <c r="S10" s="667"/>
      <c r="T10" s="667"/>
      <c r="U10" s="667"/>
      <c r="V10" s="667"/>
      <c r="W10" s="668"/>
      <c r="X10" s="160"/>
      <c r="Y10" s="256"/>
    </row>
    <row r="11" spans="3:25" ht="24.65" customHeight="1">
      <c r="C11" s="254"/>
      <c r="D11" s="160"/>
      <c r="E11" s="673" t="s">
        <v>236</v>
      </c>
      <c r="F11" s="674"/>
      <c r="G11" s="675" t="str">
        <f>証明書!AJ2</f>
        <v>乙川　二郎</v>
      </c>
      <c r="H11" s="676"/>
      <c r="I11" s="676"/>
      <c r="J11" s="676"/>
      <c r="K11" s="676"/>
      <c r="L11" s="676"/>
      <c r="M11" s="676"/>
      <c r="N11" s="676"/>
      <c r="O11" s="676"/>
      <c r="P11" s="676"/>
      <c r="Q11" s="676"/>
      <c r="R11" s="676"/>
      <c r="S11" s="676"/>
      <c r="T11" s="676"/>
      <c r="U11" s="676"/>
      <c r="V11" s="676"/>
      <c r="W11" s="677"/>
      <c r="X11" s="160"/>
      <c r="Y11" s="256"/>
    </row>
    <row r="12" spans="3:25" ht="10.4" customHeight="1">
      <c r="C12" s="254"/>
      <c r="D12" s="160"/>
      <c r="E12" s="671" t="s">
        <v>235</v>
      </c>
      <c r="F12" s="672"/>
      <c r="G12" s="261"/>
      <c r="H12" s="262"/>
      <c r="I12" s="262"/>
      <c r="J12" s="262"/>
      <c r="K12" s="262"/>
      <c r="L12" s="262"/>
      <c r="M12" s="262"/>
      <c r="N12" s="262"/>
      <c r="O12" s="262"/>
      <c r="P12" s="262"/>
      <c r="Q12" s="262"/>
      <c r="R12" s="262"/>
      <c r="S12" s="262"/>
      <c r="T12" s="262"/>
      <c r="U12" s="262"/>
      <c r="V12" s="262"/>
      <c r="W12" s="263"/>
      <c r="X12" s="160"/>
      <c r="Y12" s="256"/>
    </row>
    <row r="13" spans="3:25" ht="6" customHeight="1">
      <c r="C13" s="254"/>
      <c r="D13" s="160"/>
      <c r="E13" s="660" t="s">
        <v>237</v>
      </c>
      <c r="F13" s="661"/>
      <c r="G13" s="264"/>
      <c r="H13" s="255"/>
      <c r="I13" s="255"/>
      <c r="J13" s="255"/>
      <c r="K13" s="255"/>
      <c r="L13" s="255"/>
      <c r="M13" s="255"/>
      <c r="N13" s="255"/>
      <c r="O13" s="255"/>
      <c r="P13" s="255"/>
      <c r="Q13" s="255"/>
      <c r="R13" s="255"/>
      <c r="S13" s="255"/>
      <c r="T13" s="255"/>
      <c r="U13" s="255"/>
      <c r="V13" s="255"/>
      <c r="W13" s="265"/>
      <c r="X13" s="160"/>
      <c r="Y13" s="256"/>
    </row>
    <row r="14" spans="3:25" ht="9" customHeight="1">
      <c r="C14" s="254"/>
      <c r="D14" s="160"/>
      <c r="E14" s="662"/>
      <c r="F14" s="663"/>
      <c r="G14" s="264"/>
      <c r="H14" s="255"/>
      <c r="I14" s="255"/>
      <c r="J14" s="255"/>
      <c r="K14" s="255"/>
      <c r="L14" s="255"/>
      <c r="M14" s="255"/>
      <c r="N14" s="255"/>
      <c r="O14" s="255"/>
      <c r="P14" s="255"/>
      <c r="Q14" s="255"/>
      <c r="R14" s="255"/>
      <c r="S14" s="255"/>
      <c r="T14" s="255"/>
      <c r="U14" s="255"/>
      <c r="V14" s="255"/>
      <c r="W14" s="265"/>
      <c r="X14" s="160"/>
      <c r="Y14" s="256"/>
    </row>
    <row r="15" spans="3:25" ht="12" customHeight="1">
      <c r="C15" s="254"/>
      <c r="D15" s="160"/>
      <c r="E15" s="664"/>
      <c r="F15" s="665"/>
      <c r="G15" s="266"/>
      <c r="H15" s="267"/>
      <c r="I15" s="267"/>
      <c r="J15" s="267"/>
      <c r="K15" s="267"/>
      <c r="L15" s="267"/>
      <c r="M15" s="267"/>
      <c r="N15" s="267"/>
      <c r="O15" s="267"/>
      <c r="P15" s="267"/>
      <c r="Q15" s="267"/>
      <c r="R15" s="267"/>
      <c r="S15" s="267"/>
      <c r="T15" s="267"/>
      <c r="U15" s="267"/>
      <c r="V15" s="267"/>
      <c r="W15" s="268"/>
      <c r="X15" s="160"/>
      <c r="Y15" s="256"/>
    </row>
    <row r="16" spans="3:25" ht="10.5" customHeight="1">
      <c r="C16" s="254"/>
      <c r="D16" s="160"/>
      <c r="E16" s="269"/>
      <c r="F16" s="176"/>
      <c r="G16" s="644" t="str">
        <f>"北海道河西郡"&amp;証明書!AN3</f>
        <v>北海道河西郡芽室町中央二丁目２番地　</v>
      </c>
      <c r="H16" s="645"/>
      <c r="I16" s="645"/>
      <c r="J16" s="645"/>
      <c r="K16" s="645"/>
      <c r="L16" s="645"/>
      <c r="M16" s="645"/>
      <c r="N16" s="645"/>
      <c r="O16" s="645"/>
      <c r="P16" s="645"/>
      <c r="Q16" s="645"/>
      <c r="R16" s="645"/>
      <c r="S16" s="645"/>
      <c r="T16" s="645"/>
      <c r="U16" s="645"/>
      <c r="V16" s="645"/>
      <c r="W16" s="646"/>
      <c r="X16" s="160"/>
      <c r="Y16" s="256"/>
    </row>
    <row r="17" spans="3:25" ht="10.5" customHeight="1">
      <c r="C17" s="254"/>
      <c r="D17" s="160"/>
      <c r="E17" s="621" t="s">
        <v>127</v>
      </c>
      <c r="F17" s="622"/>
      <c r="G17" s="647"/>
      <c r="H17" s="648"/>
      <c r="I17" s="648"/>
      <c r="J17" s="648"/>
      <c r="K17" s="648"/>
      <c r="L17" s="648"/>
      <c r="M17" s="648"/>
      <c r="N17" s="648"/>
      <c r="O17" s="648"/>
      <c r="P17" s="648"/>
      <c r="Q17" s="648"/>
      <c r="R17" s="648"/>
      <c r="S17" s="648"/>
      <c r="T17" s="648"/>
      <c r="U17" s="648"/>
      <c r="V17" s="648"/>
      <c r="W17" s="649"/>
      <c r="X17" s="160"/>
      <c r="Y17" s="256"/>
    </row>
    <row r="18" spans="3:25" ht="10.5" customHeight="1">
      <c r="C18" s="254"/>
      <c r="D18" s="160"/>
      <c r="E18" s="273"/>
      <c r="F18" s="177"/>
      <c r="G18" s="650"/>
      <c r="H18" s="651"/>
      <c r="I18" s="651"/>
      <c r="J18" s="651"/>
      <c r="K18" s="651"/>
      <c r="L18" s="651"/>
      <c r="M18" s="651"/>
      <c r="N18" s="651"/>
      <c r="O18" s="651"/>
      <c r="P18" s="651"/>
      <c r="Q18" s="651"/>
      <c r="R18" s="651"/>
      <c r="S18" s="651"/>
      <c r="T18" s="651"/>
      <c r="U18" s="651"/>
      <c r="V18" s="651"/>
      <c r="W18" s="652"/>
      <c r="X18" s="160"/>
      <c r="Y18" s="256"/>
    </row>
    <row r="19" spans="3:25" ht="10.5" customHeight="1">
      <c r="C19" s="254"/>
      <c r="D19" s="160"/>
      <c r="E19" s="269"/>
      <c r="F19" s="176"/>
      <c r="G19" s="270"/>
      <c r="H19" s="271"/>
      <c r="I19" s="271"/>
      <c r="J19" s="271"/>
      <c r="K19" s="271"/>
      <c r="L19" s="271"/>
      <c r="M19" s="271"/>
      <c r="N19" s="271"/>
      <c r="O19" s="271"/>
      <c r="P19" s="271"/>
      <c r="Q19" s="271"/>
      <c r="R19" s="271"/>
      <c r="S19" s="271"/>
      <c r="T19" s="271"/>
      <c r="U19" s="271"/>
      <c r="V19" s="271"/>
      <c r="W19" s="272"/>
      <c r="X19" s="160"/>
      <c r="Y19" s="256"/>
    </row>
    <row r="20" spans="3:25" ht="10.5" customHeight="1">
      <c r="C20" s="254"/>
      <c r="D20" s="160"/>
      <c r="E20" s="621" t="s">
        <v>128</v>
      </c>
      <c r="F20" s="622"/>
      <c r="G20" s="264"/>
      <c r="H20" s="255"/>
      <c r="I20" s="255"/>
      <c r="J20" s="160"/>
      <c r="K20" s="255" t="s">
        <v>152</v>
      </c>
      <c r="L20" s="255"/>
      <c r="M20" s="160"/>
      <c r="N20" s="255" t="s">
        <v>153</v>
      </c>
      <c r="O20" s="255"/>
      <c r="P20" s="255"/>
      <c r="Q20" s="255"/>
      <c r="R20" s="255"/>
      <c r="S20" s="255"/>
      <c r="T20" s="255"/>
      <c r="U20" s="255"/>
      <c r="V20" s="255"/>
      <c r="W20" s="265"/>
      <c r="X20" s="160"/>
      <c r="Y20" s="256"/>
    </row>
    <row r="21" spans="3:25" ht="10.5" customHeight="1">
      <c r="C21" s="254"/>
      <c r="D21" s="160"/>
      <c r="E21" s="273"/>
      <c r="F21" s="177"/>
      <c r="G21" s="266"/>
      <c r="H21" s="267"/>
      <c r="I21" s="267"/>
      <c r="J21" s="267"/>
      <c r="K21" s="267"/>
      <c r="L21" s="267"/>
      <c r="M21" s="267"/>
      <c r="N21" s="267"/>
      <c r="O21" s="267"/>
      <c r="P21" s="267"/>
      <c r="Q21" s="267"/>
      <c r="R21" s="267"/>
      <c r="S21" s="267"/>
      <c r="T21" s="267"/>
      <c r="U21" s="267"/>
      <c r="V21" s="267"/>
      <c r="W21" s="268"/>
      <c r="X21" s="160"/>
      <c r="Y21" s="256"/>
    </row>
    <row r="22" spans="3:25" ht="10.5" customHeight="1">
      <c r="C22" s="254"/>
      <c r="D22" s="160"/>
      <c r="E22" s="623" t="s">
        <v>238</v>
      </c>
      <c r="F22" s="624"/>
      <c r="G22" s="728">
        <f>証明書!AL2</f>
        <v>16851</v>
      </c>
      <c r="H22" s="729"/>
      <c r="I22" s="729"/>
      <c r="J22" s="729"/>
      <c r="K22" s="729"/>
      <c r="L22" s="730"/>
      <c r="M22" s="627" t="s">
        <v>239</v>
      </c>
      <c r="N22" s="593" t="str">
        <f>証明書!AM2</f>
        <v>男</v>
      </c>
      <c r="O22" s="653"/>
      <c r="P22" s="654"/>
      <c r="Q22" s="613" t="s">
        <v>240</v>
      </c>
      <c r="R22" s="629"/>
      <c r="S22" s="270"/>
      <c r="T22" s="271"/>
      <c r="U22" s="271"/>
      <c r="V22" s="271"/>
      <c r="W22" s="272"/>
      <c r="X22" s="160"/>
      <c r="Y22" s="256"/>
    </row>
    <row r="23" spans="3:25" ht="10.5" customHeight="1">
      <c r="C23" s="254"/>
      <c r="D23" s="160"/>
      <c r="E23" s="625"/>
      <c r="F23" s="626"/>
      <c r="G23" s="731"/>
      <c r="H23" s="732"/>
      <c r="I23" s="732"/>
      <c r="J23" s="732"/>
      <c r="K23" s="732"/>
      <c r="L23" s="733"/>
      <c r="M23" s="628"/>
      <c r="N23" s="655"/>
      <c r="O23" s="574"/>
      <c r="P23" s="656"/>
      <c r="Q23" s="630"/>
      <c r="R23" s="631"/>
      <c r="S23" s="632">
        <f ca="1">TODAY()</f>
        <v>46316</v>
      </c>
      <c r="T23" s="633"/>
      <c r="U23" s="633"/>
      <c r="V23" s="633"/>
      <c r="W23" s="634"/>
      <c r="X23" s="160"/>
      <c r="Y23" s="256"/>
    </row>
    <row r="24" spans="3:25" ht="13.4" customHeight="1">
      <c r="C24" s="254"/>
      <c r="D24" s="160"/>
      <c r="E24" s="625"/>
      <c r="F24" s="626"/>
      <c r="G24" s="734"/>
      <c r="H24" s="735"/>
      <c r="I24" s="735"/>
      <c r="J24" s="735"/>
      <c r="K24" s="735"/>
      <c r="L24" s="736"/>
      <c r="M24" s="628"/>
      <c r="N24" s="657"/>
      <c r="O24" s="658"/>
      <c r="P24" s="659"/>
      <c r="Q24" s="630"/>
      <c r="R24" s="631"/>
      <c r="S24" s="264"/>
      <c r="T24" s="255"/>
      <c r="U24" s="255"/>
      <c r="V24" s="255"/>
      <c r="W24" s="265"/>
      <c r="X24" s="160"/>
      <c r="Y24" s="256"/>
    </row>
    <row r="25" spans="3:25" ht="10.5" customHeight="1">
      <c r="C25" s="254"/>
      <c r="D25" s="160"/>
      <c r="E25" s="623" t="s">
        <v>241</v>
      </c>
      <c r="F25" s="635"/>
      <c r="G25" s="271"/>
      <c r="H25" s="271"/>
      <c r="I25" s="271"/>
      <c r="J25" s="271"/>
      <c r="K25" s="271"/>
      <c r="L25" s="271"/>
      <c r="M25" s="271"/>
      <c r="N25" s="271"/>
      <c r="O25" s="271"/>
      <c r="P25" s="271"/>
      <c r="Q25" s="613" t="s">
        <v>140</v>
      </c>
      <c r="R25" s="608"/>
      <c r="S25" s="271"/>
      <c r="T25" s="271"/>
      <c r="U25" s="271"/>
      <c r="V25" s="271"/>
      <c r="W25" s="272"/>
      <c r="X25" s="160"/>
      <c r="Y25" s="256"/>
    </row>
    <row r="26" spans="3:25" ht="10.5" customHeight="1">
      <c r="C26" s="254"/>
      <c r="D26" s="160"/>
      <c r="E26" s="636"/>
      <c r="F26" s="637"/>
      <c r="G26" s="255"/>
      <c r="H26" s="255"/>
      <c r="I26" s="255"/>
      <c r="J26" s="255"/>
      <c r="K26" s="255"/>
      <c r="L26" s="255"/>
      <c r="M26" s="255"/>
      <c r="N26" s="255"/>
      <c r="O26" s="255"/>
      <c r="P26" s="255"/>
      <c r="Q26" s="609"/>
      <c r="R26" s="610"/>
      <c r="S26" s="255"/>
      <c r="T26" s="255"/>
      <c r="U26" s="255"/>
      <c r="V26" s="255"/>
      <c r="W26" s="265"/>
      <c r="X26" s="160"/>
      <c r="Y26" s="256"/>
    </row>
    <row r="27" spans="3:25" ht="10.5" customHeight="1">
      <c r="C27" s="254"/>
      <c r="D27" s="160"/>
      <c r="E27" s="638"/>
      <c r="F27" s="639"/>
      <c r="G27" s="267"/>
      <c r="H27" s="267"/>
      <c r="I27" s="267"/>
      <c r="J27" s="267"/>
      <c r="K27" s="267"/>
      <c r="L27" s="267"/>
      <c r="M27" s="267"/>
      <c r="N27" s="267"/>
      <c r="O27" s="267"/>
      <c r="P27" s="267"/>
      <c r="Q27" s="611"/>
      <c r="R27" s="612"/>
      <c r="S27" s="267"/>
      <c r="T27" s="267"/>
      <c r="U27" s="267"/>
      <c r="V27" s="267"/>
      <c r="W27" s="268"/>
      <c r="X27" s="160"/>
      <c r="Y27" s="256"/>
    </row>
    <row r="28" spans="3:25" ht="10.5" customHeight="1">
      <c r="C28" s="254"/>
      <c r="D28" s="160"/>
      <c r="E28" s="623" t="s">
        <v>242</v>
      </c>
      <c r="F28" s="640"/>
      <c r="G28" s="271"/>
      <c r="H28" s="271"/>
      <c r="I28" s="271"/>
      <c r="J28" s="271"/>
      <c r="K28" s="271"/>
      <c r="L28" s="271"/>
      <c r="M28" s="271"/>
      <c r="N28" s="271"/>
      <c r="O28" s="271"/>
      <c r="P28" s="271"/>
      <c r="Q28" s="271"/>
      <c r="R28" s="271"/>
      <c r="S28" s="271"/>
      <c r="T28" s="271"/>
      <c r="U28" s="271"/>
      <c r="V28" s="271"/>
      <c r="W28" s="272"/>
      <c r="X28" s="160"/>
      <c r="Y28" s="256"/>
    </row>
    <row r="29" spans="3:25" ht="10.5" customHeight="1">
      <c r="C29" s="254"/>
      <c r="D29" s="160"/>
      <c r="E29" s="641"/>
      <c r="F29" s="622"/>
      <c r="G29" s="255"/>
      <c r="H29" s="255"/>
      <c r="I29" s="255"/>
      <c r="J29" s="255"/>
      <c r="K29" s="255"/>
      <c r="L29" s="255"/>
      <c r="M29" s="255"/>
      <c r="N29" s="255"/>
      <c r="O29" s="255"/>
      <c r="P29" s="255"/>
      <c r="Q29" s="255"/>
      <c r="R29" s="255"/>
      <c r="S29" s="255"/>
      <c r="T29" s="255"/>
      <c r="U29" s="255"/>
      <c r="V29" s="255"/>
      <c r="W29" s="265"/>
      <c r="X29" s="160"/>
      <c r="Y29" s="256"/>
    </row>
    <row r="30" spans="3:25" ht="10.5" customHeight="1">
      <c r="C30" s="254"/>
      <c r="D30" s="160"/>
      <c r="E30" s="642"/>
      <c r="F30" s="643"/>
      <c r="G30" s="267"/>
      <c r="H30" s="267"/>
      <c r="I30" s="267"/>
      <c r="J30" s="267"/>
      <c r="K30" s="267"/>
      <c r="L30" s="267"/>
      <c r="M30" s="267"/>
      <c r="N30" s="267"/>
      <c r="O30" s="267"/>
      <c r="P30" s="267"/>
      <c r="Q30" s="267"/>
      <c r="R30" s="267"/>
      <c r="S30" s="267"/>
      <c r="T30" s="267"/>
      <c r="U30" s="267"/>
      <c r="V30" s="267"/>
      <c r="W30" s="268"/>
      <c r="X30" s="160"/>
      <c r="Y30" s="256"/>
    </row>
    <row r="31" spans="3:25" ht="10.5" customHeight="1">
      <c r="C31" s="254"/>
      <c r="D31" s="160"/>
      <c r="E31" s="623" t="s">
        <v>243</v>
      </c>
      <c r="F31" s="635"/>
      <c r="G31" s="270"/>
      <c r="H31" s="271"/>
      <c r="I31" s="271"/>
      <c r="J31" s="271"/>
      <c r="K31" s="271"/>
      <c r="L31" s="271"/>
      <c r="M31" s="271"/>
      <c r="N31" s="271"/>
      <c r="O31" s="271"/>
      <c r="P31" s="271"/>
      <c r="Q31" s="271"/>
      <c r="R31" s="271"/>
      <c r="S31" s="271"/>
      <c r="T31" s="271"/>
      <c r="U31" s="271"/>
      <c r="V31" s="271"/>
      <c r="W31" s="272"/>
      <c r="X31" s="160"/>
      <c r="Y31" s="256"/>
    </row>
    <row r="32" spans="3:25" ht="10.5" customHeight="1">
      <c r="C32" s="254"/>
      <c r="D32" s="160"/>
      <c r="E32" s="636"/>
      <c r="F32" s="637"/>
      <c r="G32" s="264"/>
      <c r="H32" s="255"/>
      <c r="I32" s="255"/>
      <c r="J32" s="160"/>
      <c r="K32" s="255" t="s">
        <v>244</v>
      </c>
      <c r="L32" s="255"/>
      <c r="M32" s="160"/>
      <c r="N32" s="255" t="s">
        <v>245</v>
      </c>
      <c r="O32" s="255"/>
      <c r="P32" s="255"/>
      <c r="Q32" s="255"/>
      <c r="R32" s="255"/>
      <c r="S32" s="255"/>
      <c r="T32" s="255"/>
      <c r="U32" s="255"/>
      <c r="V32" s="255"/>
      <c r="W32" s="265"/>
      <c r="X32" s="160"/>
      <c r="Y32" s="256"/>
    </row>
    <row r="33" spans="3:25" ht="10.5" customHeight="1">
      <c r="C33" s="254"/>
      <c r="D33" s="160"/>
      <c r="E33" s="638"/>
      <c r="F33" s="639"/>
      <c r="G33" s="266"/>
      <c r="H33" s="267"/>
      <c r="I33" s="267"/>
      <c r="J33" s="267"/>
      <c r="K33" s="267"/>
      <c r="L33" s="267"/>
      <c r="M33" s="267"/>
      <c r="N33" s="267"/>
      <c r="O33" s="267"/>
      <c r="P33" s="267"/>
      <c r="Q33" s="267"/>
      <c r="R33" s="267"/>
      <c r="S33" s="267"/>
      <c r="T33" s="267"/>
      <c r="U33" s="267"/>
      <c r="V33" s="267"/>
      <c r="W33" s="268"/>
      <c r="X33" s="160"/>
      <c r="Y33" s="256"/>
    </row>
    <row r="34" spans="3:25" ht="9.65" customHeight="1">
      <c r="C34" s="254"/>
      <c r="D34" s="160"/>
      <c r="E34" s="620" t="s">
        <v>246</v>
      </c>
      <c r="F34" s="620"/>
      <c r="G34" s="620"/>
      <c r="H34" s="620"/>
      <c r="I34" s="620"/>
      <c r="J34" s="620"/>
      <c r="K34" s="620"/>
      <c r="L34" s="620"/>
      <c r="M34" s="620"/>
      <c r="N34" s="620"/>
      <c r="O34" s="620"/>
      <c r="P34" s="620"/>
      <c r="Q34" s="620"/>
      <c r="R34" s="620"/>
      <c r="S34" s="620"/>
      <c r="T34" s="620"/>
      <c r="U34" s="620"/>
      <c r="V34" s="620"/>
      <c r="W34" s="620"/>
      <c r="X34" s="160"/>
      <c r="Y34" s="256"/>
    </row>
    <row r="35" spans="3:25" ht="10.5" customHeight="1">
      <c r="C35" s="254"/>
      <c r="D35" s="160"/>
      <c r="E35" s="616" t="s">
        <v>247</v>
      </c>
      <c r="F35" s="617"/>
      <c r="G35" s="617"/>
      <c r="H35" s="617"/>
      <c r="I35" s="617"/>
      <c r="J35" s="617"/>
      <c r="K35" s="617"/>
      <c r="L35" s="617"/>
      <c r="M35" s="617"/>
      <c r="N35" s="617"/>
      <c r="O35" s="617"/>
      <c r="P35" s="617"/>
      <c r="Q35" s="617"/>
      <c r="R35" s="617"/>
      <c r="S35" s="617"/>
      <c r="T35" s="617"/>
      <c r="U35" s="617"/>
      <c r="V35" s="617"/>
      <c r="W35" s="617"/>
      <c r="X35" s="160"/>
      <c r="Y35" s="256"/>
    </row>
    <row r="36" spans="3:25" ht="10.5" customHeight="1">
      <c r="C36" s="254"/>
      <c r="D36" s="160"/>
      <c r="E36" s="616" t="s">
        <v>248</v>
      </c>
      <c r="F36" s="618"/>
      <c r="G36" s="618"/>
      <c r="H36" s="618"/>
      <c r="I36" s="618"/>
      <c r="J36" s="618"/>
      <c r="K36" s="618"/>
      <c r="L36" s="618"/>
      <c r="M36" s="618"/>
      <c r="N36" s="618"/>
      <c r="O36" s="618"/>
      <c r="P36" s="618"/>
      <c r="Q36" s="618"/>
      <c r="R36" s="618"/>
      <c r="S36" s="618"/>
      <c r="T36" s="618"/>
      <c r="U36" s="618"/>
      <c r="V36" s="618"/>
      <c r="W36" s="618"/>
      <c r="X36" s="160"/>
      <c r="Y36" s="256"/>
    </row>
    <row r="37" spans="3:25" ht="10.5" customHeight="1">
      <c r="C37" s="254"/>
      <c r="D37" s="160"/>
      <c r="E37" s="616" t="s">
        <v>249</v>
      </c>
      <c r="F37" s="616"/>
      <c r="G37" s="616"/>
      <c r="H37" s="616"/>
      <c r="I37" s="616"/>
      <c r="J37" s="616"/>
      <c r="K37" s="616"/>
      <c r="L37" s="616"/>
      <c r="M37" s="616"/>
      <c r="N37" s="616"/>
      <c r="O37" s="616"/>
      <c r="P37" s="616"/>
      <c r="Q37" s="616"/>
      <c r="R37" s="616"/>
      <c r="S37" s="616"/>
      <c r="T37" s="616"/>
      <c r="U37" s="616"/>
      <c r="V37" s="616"/>
      <c r="W37" s="616"/>
      <c r="X37" s="160"/>
      <c r="Y37" s="256"/>
    </row>
    <row r="38" spans="3:25" ht="10.5" customHeight="1">
      <c r="C38" s="254"/>
      <c r="E38" s="251" t="s">
        <v>250</v>
      </c>
      <c r="J38" s="274"/>
      <c r="K38" s="275"/>
      <c r="L38" s="275"/>
      <c r="M38" s="275"/>
      <c r="N38" s="275"/>
      <c r="O38" s="275"/>
      <c r="P38" s="275"/>
      <c r="Q38" s="275"/>
      <c r="R38" s="275"/>
      <c r="Y38" s="256"/>
    </row>
    <row r="39" spans="3:25" ht="10.5" customHeight="1">
      <c r="C39" s="254"/>
      <c r="D39" s="276"/>
      <c r="E39" s="251" t="s">
        <v>251</v>
      </c>
      <c r="J39" s="274"/>
      <c r="K39" s="275"/>
      <c r="L39" s="275"/>
      <c r="M39" s="275"/>
      <c r="N39" s="275"/>
      <c r="O39" s="275"/>
      <c r="P39" s="275"/>
      <c r="Q39" s="275"/>
      <c r="R39" s="275"/>
      <c r="Y39" s="256"/>
    </row>
    <row r="40" spans="3:25" ht="10.5" customHeight="1">
      <c r="C40" s="254"/>
      <c r="D40" s="276"/>
      <c r="E40" s="277" t="s">
        <v>252</v>
      </c>
      <c r="F40" s="277"/>
      <c r="G40" s="277"/>
      <c r="H40" s="277"/>
      <c r="I40" s="277"/>
      <c r="J40" s="277"/>
      <c r="K40" s="277"/>
      <c r="L40" s="277"/>
      <c r="M40" s="277"/>
      <c r="N40" s="277"/>
      <c r="O40" s="277"/>
      <c r="P40" s="277"/>
      <c r="Q40" s="277"/>
      <c r="R40" s="277"/>
      <c r="S40" s="277"/>
      <c r="T40" s="277"/>
      <c r="U40" s="277"/>
      <c r="V40" s="277"/>
      <c r="W40" s="277"/>
      <c r="Y40" s="256"/>
    </row>
    <row r="41" spans="3:25" ht="10.5" customHeight="1">
      <c r="C41" s="254"/>
      <c r="E41" s="619" t="s">
        <v>253</v>
      </c>
      <c r="F41" s="619"/>
      <c r="G41" s="619"/>
      <c r="H41" s="619"/>
      <c r="I41" s="619"/>
      <c r="J41" s="619"/>
      <c r="K41" s="619"/>
      <c r="L41" s="619"/>
      <c r="M41" s="619"/>
      <c r="N41" s="619"/>
      <c r="O41" s="619"/>
      <c r="P41" s="619"/>
      <c r="Q41" s="619"/>
      <c r="R41" s="619"/>
      <c r="S41" s="619"/>
      <c r="T41" s="619"/>
      <c r="U41" s="619"/>
      <c r="V41" s="619"/>
      <c r="W41" s="619"/>
      <c r="X41" s="619"/>
      <c r="Y41" s="256"/>
    </row>
    <row r="42" spans="3:25" ht="10.5" customHeight="1">
      <c r="C42" s="254"/>
      <c r="E42" s="242"/>
      <c r="F42" s="615" t="s">
        <v>254</v>
      </c>
      <c r="G42" s="601"/>
      <c r="H42" s="601"/>
      <c r="I42" s="601"/>
      <c r="J42" s="601"/>
      <c r="K42" s="601"/>
      <c r="L42" s="278"/>
      <c r="M42" s="278"/>
      <c r="N42" s="600" t="s">
        <v>255</v>
      </c>
      <c r="O42" s="601"/>
      <c r="P42" s="601"/>
      <c r="Q42" s="601"/>
      <c r="R42" s="601"/>
      <c r="S42" s="601"/>
      <c r="T42" s="601"/>
      <c r="U42" s="601"/>
      <c r="V42" s="602"/>
      <c r="W42" s="279"/>
      <c r="Y42" s="256"/>
    </row>
    <row r="43" spans="3:25" ht="10.5" customHeight="1">
      <c r="C43" s="254"/>
      <c r="E43" s="242"/>
      <c r="F43" s="615" t="s">
        <v>256</v>
      </c>
      <c r="G43" s="601"/>
      <c r="H43" s="601"/>
      <c r="I43" s="601"/>
      <c r="J43" s="601"/>
      <c r="K43" s="601"/>
      <c r="L43" s="601"/>
      <c r="M43" s="278"/>
      <c r="N43" s="600" t="s">
        <v>255</v>
      </c>
      <c r="O43" s="601"/>
      <c r="P43" s="601"/>
      <c r="Q43" s="601"/>
      <c r="R43" s="601"/>
      <c r="S43" s="601"/>
      <c r="T43" s="601"/>
      <c r="U43" s="601"/>
      <c r="V43" s="602"/>
      <c r="W43" s="279"/>
      <c r="Y43" s="256"/>
    </row>
    <row r="44" spans="3:25" ht="4.5" customHeight="1">
      <c r="C44" s="254"/>
      <c r="E44" s="242"/>
      <c r="F44" s="279"/>
      <c r="G44" s="279"/>
      <c r="H44" s="279"/>
      <c r="I44" s="279"/>
      <c r="J44" s="279"/>
      <c r="K44" s="279"/>
      <c r="L44" s="279"/>
      <c r="M44" s="279"/>
      <c r="N44" s="279"/>
      <c r="O44" s="279"/>
      <c r="P44" s="279"/>
      <c r="Q44" s="279"/>
      <c r="R44" s="279"/>
      <c r="S44" s="279"/>
      <c r="T44" s="279"/>
      <c r="U44" s="279"/>
      <c r="V44" s="279"/>
      <c r="W44" s="279"/>
      <c r="Y44" s="256"/>
    </row>
    <row r="45" spans="3:25" ht="10.5" customHeight="1">
      <c r="C45" s="254"/>
      <c r="E45" s="277" t="s">
        <v>257</v>
      </c>
      <c r="F45" s="277"/>
      <c r="G45" s="277"/>
      <c r="H45" s="277"/>
      <c r="I45" s="277"/>
      <c r="J45" s="277"/>
      <c r="K45" s="277"/>
      <c r="L45" s="277"/>
      <c r="M45" s="277"/>
      <c r="N45" s="277"/>
      <c r="O45" s="277"/>
      <c r="P45" s="277"/>
      <c r="Q45" s="277"/>
      <c r="R45" s="277"/>
      <c r="S45" s="277"/>
      <c r="T45" s="277"/>
      <c r="U45" s="277"/>
      <c r="V45" s="277"/>
      <c r="W45" s="280"/>
      <c r="Y45" s="256"/>
    </row>
    <row r="46" spans="3:25" ht="11.15" customHeight="1">
      <c r="C46" s="254"/>
      <c r="E46" s="281"/>
      <c r="F46" s="603" t="s">
        <v>258</v>
      </c>
      <c r="G46" s="603"/>
      <c r="H46" s="603"/>
      <c r="I46" s="603"/>
      <c r="J46" s="603"/>
      <c r="K46" s="603"/>
      <c r="L46" s="603"/>
      <c r="M46" s="603"/>
      <c r="N46" s="603"/>
      <c r="O46" s="603"/>
      <c r="P46" s="603"/>
      <c r="Q46" s="603"/>
      <c r="R46" s="603"/>
      <c r="S46" s="603"/>
      <c r="T46" s="282"/>
      <c r="U46" s="282"/>
      <c r="V46" s="282"/>
      <c r="W46" s="282"/>
      <c r="Y46" s="256"/>
    </row>
    <row r="47" spans="3:25" ht="16" customHeight="1">
      <c r="C47" s="254"/>
      <c r="E47" s="281"/>
      <c r="F47" s="604" t="s">
        <v>259</v>
      </c>
      <c r="G47" s="604"/>
      <c r="H47" s="604"/>
      <c r="I47" s="604"/>
      <c r="J47" s="604"/>
      <c r="K47" s="604"/>
      <c r="L47" s="604"/>
      <c r="M47" s="604"/>
      <c r="N47" s="604"/>
      <c r="O47" s="604"/>
      <c r="P47" s="604"/>
      <c r="Q47" s="604"/>
      <c r="R47" s="604"/>
      <c r="S47" s="604"/>
      <c r="T47" s="604"/>
      <c r="U47" s="604"/>
      <c r="V47" s="604"/>
      <c r="W47" s="604"/>
      <c r="Y47" s="256"/>
    </row>
    <row r="48" spans="3:25" ht="5.25" customHeight="1">
      <c r="C48" s="254"/>
      <c r="D48" s="160"/>
      <c r="E48" s="240"/>
      <c r="F48" s="240"/>
      <c r="G48" s="185"/>
      <c r="H48" s="185"/>
      <c r="I48" s="283"/>
      <c r="J48" s="283"/>
      <c r="K48" s="283"/>
      <c r="L48" s="160"/>
      <c r="M48" s="160"/>
      <c r="N48" s="160"/>
      <c r="O48" s="160"/>
      <c r="P48" s="160"/>
      <c r="Q48" s="160"/>
      <c r="R48" s="160"/>
      <c r="S48" s="160"/>
      <c r="T48" s="160"/>
      <c r="U48" s="160"/>
      <c r="V48" s="160"/>
      <c r="W48" s="160"/>
      <c r="X48" s="160"/>
      <c r="Y48" s="256"/>
    </row>
    <row r="49" spans="3:28" ht="10.5" customHeight="1">
      <c r="C49" s="254"/>
      <c r="D49" s="160"/>
      <c r="E49" s="184" t="s">
        <v>260</v>
      </c>
      <c r="F49" s="160"/>
      <c r="G49" s="160"/>
      <c r="H49" s="160"/>
      <c r="I49" s="160"/>
      <c r="J49" s="284"/>
      <c r="K49" s="160"/>
      <c r="L49" s="160"/>
      <c r="M49" s="160"/>
      <c r="N49" s="160"/>
      <c r="O49" s="160"/>
      <c r="P49" s="160"/>
      <c r="Q49" s="160"/>
      <c r="R49" s="160"/>
      <c r="S49" s="160"/>
      <c r="T49" s="160"/>
      <c r="U49" s="160"/>
      <c r="V49" s="160"/>
      <c r="W49" s="160"/>
      <c r="X49" s="160"/>
      <c r="Y49" s="256"/>
    </row>
    <row r="50" spans="3:28" ht="39.75" customHeight="1">
      <c r="C50" s="254"/>
      <c r="D50" s="160"/>
      <c r="E50" s="605" t="s">
        <v>261</v>
      </c>
      <c r="F50" s="606"/>
      <c r="G50" s="606"/>
      <c r="H50" s="606"/>
      <c r="I50" s="606"/>
      <c r="J50" s="606"/>
      <c r="K50" s="606"/>
      <c r="L50" s="606"/>
      <c r="M50" s="606"/>
      <c r="N50" s="606"/>
      <c r="O50" s="606"/>
      <c r="P50" s="606"/>
      <c r="Q50" s="606"/>
      <c r="R50" s="606"/>
      <c r="S50" s="606"/>
      <c r="T50" s="606"/>
      <c r="U50" s="606"/>
      <c r="V50" s="606"/>
      <c r="W50" s="606"/>
      <c r="X50" s="160"/>
      <c r="Y50" s="256"/>
    </row>
    <row r="51" spans="3:28" ht="10.5" customHeight="1">
      <c r="C51" s="254"/>
      <c r="D51" s="160"/>
      <c r="E51" s="607" t="s">
        <v>262</v>
      </c>
      <c r="F51" s="608"/>
      <c r="G51" s="176"/>
      <c r="H51" s="176"/>
      <c r="I51" s="176"/>
      <c r="J51" s="176"/>
      <c r="K51" s="176"/>
      <c r="L51" s="613" t="s">
        <v>187</v>
      </c>
      <c r="M51" s="608"/>
      <c r="N51" s="599" t="s">
        <v>188</v>
      </c>
      <c r="O51" s="614"/>
      <c r="P51" s="614"/>
      <c r="Q51" s="588"/>
      <c r="R51" s="176"/>
      <c r="S51" s="176"/>
      <c r="T51" s="176"/>
      <c r="U51" s="176"/>
      <c r="V51" s="176"/>
      <c r="W51" s="253"/>
      <c r="X51" s="160"/>
      <c r="Y51" s="256"/>
    </row>
    <row r="52" spans="3:28" ht="10.5" customHeight="1">
      <c r="C52" s="254"/>
      <c r="D52" s="160"/>
      <c r="E52" s="609"/>
      <c r="F52" s="610"/>
      <c r="G52" s="160"/>
      <c r="H52" s="574" t="s">
        <v>263</v>
      </c>
      <c r="I52" s="574"/>
      <c r="J52" s="574"/>
      <c r="K52" s="160"/>
      <c r="L52" s="609"/>
      <c r="M52" s="610"/>
      <c r="N52" s="160"/>
      <c r="O52" s="160"/>
      <c r="P52" s="160"/>
      <c r="Q52" s="160"/>
      <c r="R52" s="160"/>
      <c r="S52" s="160"/>
      <c r="T52" s="160"/>
      <c r="U52" s="160"/>
      <c r="V52" s="160"/>
      <c r="W52" s="256"/>
      <c r="X52" s="160"/>
      <c r="Y52" s="256"/>
    </row>
    <row r="53" spans="3:28" ht="10.5" customHeight="1">
      <c r="C53" s="254"/>
      <c r="D53" s="160"/>
      <c r="E53" s="611"/>
      <c r="F53" s="612"/>
      <c r="G53" s="177"/>
      <c r="H53" s="177"/>
      <c r="I53" s="177"/>
      <c r="J53" s="177"/>
      <c r="K53" s="177"/>
      <c r="L53" s="611"/>
      <c r="M53" s="612"/>
      <c r="N53" s="177"/>
      <c r="O53" s="177"/>
      <c r="P53" s="177"/>
      <c r="Q53" s="177"/>
      <c r="R53" s="177"/>
      <c r="S53" s="177"/>
      <c r="T53" s="177"/>
      <c r="U53" s="177"/>
      <c r="V53" s="177"/>
      <c r="W53" s="285"/>
      <c r="X53" s="160"/>
      <c r="Y53" s="256"/>
    </row>
    <row r="54" spans="3:28" s="257" customFormat="1" ht="6.75" customHeight="1">
      <c r="C54" s="254"/>
      <c r="D54" s="160"/>
      <c r="E54" s="241"/>
      <c r="F54" s="241"/>
      <c r="G54" s="241"/>
      <c r="H54" s="241"/>
      <c r="I54" s="241"/>
      <c r="J54" s="241"/>
      <c r="K54" s="241"/>
      <c r="L54" s="241"/>
      <c r="M54" s="241"/>
      <c r="N54" s="241"/>
      <c r="O54" s="241"/>
      <c r="P54" s="241"/>
      <c r="Q54" s="241"/>
      <c r="R54" s="241"/>
      <c r="S54" s="286"/>
      <c r="T54" s="286"/>
      <c r="U54" s="286"/>
      <c r="V54" s="241"/>
      <c r="W54" s="241"/>
      <c r="X54" s="160"/>
      <c r="Y54" s="256"/>
      <c r="AB54" s="287"/>
    </row>
    <row r="55" spans="3:28" ht="6.75" customHeight="1">
      <c r="C55" s="288"/>
      <c r="D55" s="289"/>
      <c r="E55" s="290"/>
      <c r="F55" s="289"/>
      <c r="G55" s="289"/>
      <c r="H55" s="289"/>
      <c r="I55" s="289"/>
      <c r="J55" s="289"/>
      <c r="K55" s="289"/>
      <c r="L55" s="289"/>
      <c r="M55" s="289"/>
      <c r="N55" s="289"/>
      <c r="O55" s="289"/>
      <c r="P55" s="289"/>
      <c r="Q55" s="289"/>
      <c r="R55" s="289"/>
      <c r="S55" s="289"/>
      <c r="T55" s="289"/>
      <c r="U55" s="289"/>
      <c r="V55" s="289"/>
      <c r="W55" s="289"/>
      <c r="X55" s="289"/>
      <c r="Y55" s="291"/>
    </row>
    <row r="56" spans="3:28" ht="10.5" customHeight="1">
      <c r="C56" s="254"/>
      <c r="D56" s="160"/>
      <c r="E56" s="184" t="s">
        <v>264</v>
      </c>
      <c r="F56" s="177"/>
      <c r="G56" s="177"/>
      <c r="H56" s="177"/>
      <c r="I56" s="177"/>
      <c r="J56" s="177"/>
      <c r="K56" s="177"/>
      <c r="L56" s="177"/>
      <c r="M56" s="177"/>
      <c r="N56" s="177"/>
      <c r="O56" s="177"/>
      <c r="P56" s="177"/>
      <c r="Q56" s="177"/>
      <c r="R56" s="177"/>
      <c r="S56" s="177"/>
      <c r="T56" s="177"/>
      <c r="U56" s="177"/>
      <c r="V56" s="177"/>
      <c r="W56" s="177"/>
      <c r="X56" s="160"/>
      <c r="Y56" s="256"/>
    </row>
    <row r="57" spans="3:28" ht="10.5" customHeight="1">
      <c r="C57" s="254"/>
      <c r="D57" s="160"/>
      <c r="E57" s="582" t="s">
        <v>142</v>
      </c>
      <c r="F57" s="583"/>
      <c r="G57" s="583"/>
      <c r="H57" s="583"/>
      <c r="I57" s="583"/>
      <c r="J57" s="583"/>
      <c r="K57" s="583"/>
      <c r="L57" s="583"/>
      <c r="M57" s="583"/>
      <c r="N57" s="584"/>
      <c r="O57" s="582" t="s">
        <v>143</v>
      </c>
      <c r="P57" s="585"/>
      <c r="Q57" s="585"/>
      <c r="R57" s="585"/>
      <c r="S57" s="585"/>
      <c r="T57" s="585"/>
      <c r="U57" s="585"/>
      <c r="V57" s="585"/>
      <c r="W57" s="586"/>
      <c r="X57" s="160"/>
      <c r="Y57" s="256"/>
    </row>
    <row r="58" spans="3:28" ht="10.5" customHeight="1">
      <c r="C58" s="254"/>
      <c r="D58" s="160"/>
      <c r="E58" s="587"/>
      <c r="F58" s="588"/>
      <c r="G58" s="588"/>
      <c r="H58" s="588"/>
      <c r="I58" s="588"/>
      <c r="J58" s="588"/>
      <c r="K58" s="588"/>
      <c r="L58" s="588"/>
      <c r="M58" s="588"/>
      <c r="N58" s="589"/>
      <c r="O58" s="593" t="s">
        <v>265</v>
      </c>
      <c r="P58" s="588"/>
      <c r="Q58" s="588"/>
      <c r="R58" s="588"/>
      <c r="S58" s="588"/>
      <c r="T58" s="588"/>
      <c r="U58" s="588"/>
      <c r="V58" s="588"/>
      <c r="W58" s="589"/>
      <c r="X58" s="160"/>
      <c r="Y58" s="256"/>
    </row>
    <row r="59" spans="3:28" ht="10.5" customHeight="1">
      <c r="C59" s="254"/>
      <c r="D59" s="160"/>
      <c r="E59" s="590"/>
      <c r="F59" s="591"/>
      <c r="G59" s="591"/>
      <c r="H59" s="591"/>
      <c r="I59" s="591"/>
      <c r="J59" s="591"/>
      <c r="K59" s="591"/>
      <c r="L59" s="591"/>
      <c r="M59" s="591"/>
      <c r="N59" s="592"/>
      <c r="O59" s="590"/>
      <c r="P59" s="591"/>
      <c r="Q59" s="591"/>
      <c r="R59" s="591"/>
      <c r="S59" s="591"/>
      <c r="T59" s="591"/>
      <c r="U59" s="591"/>
      <c r="V59" s="591"/>
      <c r="W59" s="592"/>
      <c r="X59" s="160"/>
      <c r="Y59" s="256"/>
    </row>
    <row r="60" spans="3:28" ht="10.5" customHeight="1">
      <c r="C60" s="254"/>
      <c r="D60" s="160"/>
      <c r="E60" s="594" t="s">
        <v>266</v>
      </c>
      <c r="F60" s="597" t="s">
        <v>267</v>
      </c>
      <c r="G60" s="597"/>
      <c r="H60" s="597"/>
      <c r="I60" s="597"/>
      <c r="J60" s="597"/>
      <c r="K60" s="598"/>
      <c r="L60" s="582" t="s">
        <v>268</v>
      </c>
      <c r="M60" s="585"/>
      <c r="N60" s="585"/>
      <c r="O60" s="585"/>
      <c r="P60" s="585"/>
      <c r="Q60" s="585"/>
      <c r="R60" s="586"/>
      <c r="S60" s="582" t="s">
        <v>269</v>
      </c>
      <c r="T60" s="585"/>
      <c r="U60" s="585"/>
      <c r="V60" s="585"/>
      <c r="W60" s="586"/>
      <c r="X60" s="160"/>
      <c r="Y60" s="256"/>
    </row>
    <row r="61" spans="3:28" ht="10.5" customHeight="1">
      <c r="C61" s="254"/>
      <c r="D61" s="160"/>
      <c r="E61" s="595"/>
      <c r="F61" s="292" t="s">
        <v>270</v>
      </c>
      <c r="G61" s="293"/>
      <c r="H61" s="293"/>
      <c r="I61" s="293"/>
      <c r="J61" s="293"/>
      <c r="K61" s="294"/>
      <c r="L61" s="295" t="s">
        <v>271</v>
      </c>
      <c r="M61" s="296"/>
      <c r="N61" s="296"/>
      <c r="O61" s="297"/>
      <c r="P61" s="175"/>
      <c r="Q61" s="175"/>
      <c r="R61" s="298"/>
      <c r="S61" s="599" t="s">
        <v>272</v>
      </c>
      <c r="T61" s="588"/>
      <c r="U61" s="588"/>
      <c r="V61" s="588"/>
      <c r="W61" s="589"/>
      <c r="X61" s="160"/>
      <c r="Y61" s="256"/>
    </row>
    <row r="62" spans="3:28" ht="10.5" customHeight="1">
      <c r="C62" s="254"/>
      <c r="D62" s="160"/>
      <c r="E62" s="595"/>
      <c r="F62" s="299" t="s">
        <v>273</v>
      </c>
      <c r="G62" s="300"/>
      <c r="H62" s="300"/>
      <c r="I62" s="300"/>
      <c r="J62" s="300"/>
      <c r="K62" s="301"/>
      <c r="L62" s="302" t="s">
        <v>274</v>
      </c>
      <c r="M62" s="303"/>
      <c r="N62" s="303"/>
      <c r="O62" s="304"/>
      <c r="P62" s="305"/>
      <c r="Q62" s="305"/>
      <c r="R62" s="306"/>
      <c r="S62" s="590"/>
      <c r="T62" s="591"/>
      <c r="U62" s="591"/>
      <c r="V62" s="591"/>
      <c r="W62" s="592"/>
      <c r="X62" s="160"/>
      <c r="Y62" s="256"/>
    </row>
    <row r="63" spans="3:28" ht="10.5" customHeight="1">
      <c r="C63" s="254"/>
      <c r="D63" s="160"/>
      <c r="E63" s="595"/>
      <c r="F63" s="597" t="s">
        <v>275</v>
      </c>
      <c r="G63" s="597"/>
      <c r="H63" s="597"/>
      <c r="I63" s="597"/>
      <c r="J63" s="597"/>
      <c r="K63" s="597"/>
      <c r="L63" s="597"/>
      <c r="M63" s="597"/>
      <c r="N63" s="597"/>
      <c r="O63" s="597"/>
      <c r="P63" s="597"/>
      <c r="Q63" s="597"/>
      <c r="R63" s="597"/>
      <c r="S63" s="597"/>
      <c r="T63" s="597"/>
      <c r="U63" s="597"/>
      <c r="V63" s="597"/>
      <c r="W63" s="598"/>
      <c r="X63" s="160"/>
      <c r="Y63" s="256"/>
    </row>
    <row r="64" spans="3:28" ht="10.5" customHeight="1">
      <c r="C64" s="254"/>
      <c r="D64" s="160"/>
      <c r="E64" s="595"/>
      <c r="F64" s="578"/>
      <c r="G64" s="578"/>
      <c r="H64" s="578"/>
      <c r="I64" s="578"/>
      <c r="J64" s="578"/>
      <c r="K64" s="578"/>
      <c r="L64" s="578"/>
      <c r="M64" s="578"/>
      <c r="N64" s="578"/>
      <c r="O64" s="578"/>
      <c r="P64" s="578"/>
      <c r="Q64" s="578"/>
      <c r="R64" s="578"/>
      <c r="S64" s="578"/>
      <c r="T64" s="578"/>
      <c r="U64" s="578"/>
      <c r="V64" s="578"/>
      <c r="W64" s="579"/>
      <c r="X64" s="160"/>
      <c r="Y64" s="256"/>
    </row>
    <row r="65" spans="3:25" ht="10.5" customHeight="1">
      <c r="C65" s="254"/>
      <c r="D65" s="160"/>
      <c r="E65" s="596"/>
      <c r="F65" s="580"/>
      <c r="G65" s="580"/>
      <c r="H65" s="580"/>
      <c r="I65" s="580"/>
      <c r="J65" s="580"/>
      <c r="K65" s="580"/>
      <c r="L65" s="580"/>
      <c r="M65" s="580"/>
      <c r="N65" s="580"/>
      <c r="O65" s="580"/>
      <c r="P65" s="580"/>
      <c r="Q65" s="580"/>
      <c r="R65" s="580"/>
      <c r="S65" s="580"/>
      <c r="T65" s="580"/>
      <c r="U65" s="580"/>
      <c r="V65" s="580"/>
      <c r="W65" s="581"/>
      <c r="X65" s="160"/>
      <c r="Y65" s="256"/>
    </row>
    <row r="66" spans="3:25" ht="10.5" customHeight="1">
      <c r="C66" s="254"/>
      <c r="D66" s="160"/>
      <c r="E66" s="594" t="s">
        <v>276</v>
      </c>
      <c r="F66" s="597" t="s">
        <v>277</v>
      </c>
      <c r="G66" s="597"/>
      <c r="H66" s="597"/>
      <c r="I66" s="597"/>
      <c r="J66" s="597"/>
      <c r="K66" s="598"/>
      <c r="L66" s="582" t="s">
        <v>268</v>
      </c>
      <c r="M66" s="585"/>
      <c r="N66" s="585"/>
      <c r="O66" s="585"/>
      <c r="P66" s="585"/>
      <c r="Q66" s="585"/>
      <c r="R66" s="586"/>
      <c r="S66" s="582" t="s">
        <v>269</v>
      </c>
      <c r="T66" s="585"/>
      <c r="U66" s="585"/>
      <c r="V66" s="585"/>
      <c r="W66" s="586"/>
      <c r="X66" s="160"/>
      <c r="Y66" s="256"/>
    </row>
    <row r="67" spans="3:25" ht="10.5" customHeight="1">
      <c r="C67" s="254"/>
      <c r="D67" s="160"/>
      <c r="E67" s="595"/>
      <c r="F67" s="292" t="s">
        <v>278</v>
      </c>
      <c r="G67" s="293"/>
      <c r="H67" s="293"/>
      <c r="I67" s="293"/>
      <c r="J67" s="293"/>
      <c r="K67" s="294"/>
      <c r="L67" s="295" t="s">
        <v>271</v>
      </c>
      <c r="M67" s="296"/>
      <c r="N67" s="296"/>
      <c r="O67" s="297"/>
      <c r="P67" s="175"/>
      <c r="Q67" s="175"/>
      <c r="R67" s="298"/>
      <c r="S67" s="599" t="s">
        <v>272</v>
      </c>
      <c r="T67" s="588"/>
      <c r="U67" s="588"/>
      <c r="V67" s="588"/>
      <c r="W67" s="589"/>
      <c r="X67" s="160"/>
      <c r="Y67" s="256"/>
    </row>
    <row r="68" spans="3:25" ht="10.5" customHeight="1">
      <c r="C68" s="254"/>
      <c r="D68" s="160"/>
      <c r="E68" s="595"/>
      <c r="F68" s="299" t="s">
        <v>279</v>
      </c>
      <c r="G68" s="300"/>
      <c r="H68" s="300"/>
      <c r="I68" s="300"/>
      <c r="J68" s="300"/>
      <c r="K68" s="301"/>
      <c r="L68" s="302" t="s">
        <v>280</v>
      </c>
      <c r="M68" s="303"/>
      <c r="N68" s="303"/>
      <c r="O68" s="304"/>
      <c r="P68" s="305"/>
      <c r="Q68" s="305"/>
      <c r="R68" s="306"/>
      <c r="S68" s="590"/>
      <c r="T68" s="591"/>
      <c r="U68" s="591"/>
      <c r="V68" s="591"/>
      <c r="W68" s="592"/>
      <c r="X68" s="160"/>
      <c r="Y68" s="256"/>
    </row>
    <row r="69" spans="3:25" ht="10.5" customHeight="1">
      <c r="C69" s="254"/>
      <c r="D69" s="160"/>
      <c r="E69" s="595"/>
      <c r="F69" s="597" t="s">
        <v>281</v>
      </c>
      <c r="G69" s="597"/>
      <c r="H69" s="597"/>
      <c r="I69" s="597"/>
      <c r="J69" s="597"/>
      <c r="K69" s="597"/>
      <c r="L69" s="597"/>
      <c r="M69" s="597"/>
      <c r="N69" s="597"/>
      <c r="O69" s="597"/>
      <c r="P69" s="597"/>
      <c r="Q69" s="597"/>
      <c r="R69" s="597"/>
      <c r="S69" s="597"/>
      <c r="T69" s="597"/>
      <c r="U69" s="597"/>
      <c r="V69" s="597"/>
      <c r="W69" s="598"/>
      <c r="X69" s="160"/>
      <c r="Y69" s="256"/>
    </row>
    <row r="70" spans="3:25" ht="10.5" customHeight="1">
      <c r="C70" s="254"/>
      <c r="D70" s="160"/>
      <c r="E70" s="595"/>
      <c r="F70" s="578"/>
      <c r="G70" s="578"/>
      <c r="H70" s="578"/>
      <c r="I70" s="578"/>
      <c r="J70" s="578"/>
      <c r="K70" s="578"/>
      <c r="L70" s="578"/>
      <c r="M70" s="578"/>
      <c r="N70" s="578"/>
      <c r="O70" s="578"/>
      <c r="P70" s="578"/>
      <c r="Q70" s="578"/>
      <c r="R70" s="578"/>
      <c r="S70" s="578"/>
      <c r="T70" s="578"/>
      <c r="U70" s="578"/>
      <c r="V70" s="578"/>
      <c r="W70" s="579"/>
      <c r="X70" s="160"/>
      <c r="Y70" s="256"/>
    </row>
    <row r="71" spans="3:25" ht="10.5" customHeight="1">
      <c r="C71" s="254"/>
      <c r="D71" s="160"/>
      <c r="E71" s="596"/>
      <c r="F71" s="580"/>
      <c r="G71" s="580"/>
      <c r="H71" s="580"/>
      <c r="I71" s="580"/>
      <c r="J71" s="580"/>
      <c r="K71" s="580"/>
      <c r="L71" s="580"/>
      <c r="M71" s="580"/>
      <c r="N71" s="580"/>
      <c r="O71" s="580"/>
      <c r="P71" s="580"/>
      <c r="Q71" s="580"/>
      <c r="R71" s="580"/>
      <c r="S71" s="580"/>
      <c r="T71" s="580"/>
      <c r="U71" s="580"/>
      <c r="V71" s="580"/>
      <c r="W71" s="581"/>
      <c r="X71" s="160"/>
      <c r="Y71" s="256"/>
    </row>
    <row r="72" spans="3:25" ht="10.5" customHeight="1">
      <c r="C72" s="307"/>
      <c r="D72" s="177"/>
      <c r="E72" s="177"/>
      <c r="F72" s="177"/>
      <c r="G72" s="177"/>
      <c r="H72" s="177"/>
      <c r="I72" s="177"/>
      <c r="J72" s="177"/>
      <c r="K72" s="177"/>
      <c r="L72" s="177"/>
      <c r="M72" s="177"/>
      <c r="N72" s="177"/>
      <c r="O72" s="177"/>
      <c r="P72" s="177"/>
      <c r="Q72" s="177"/>
      <c r="R72" s="177"/>
      <c r="S72" s="177"/>
      <c r="T72" s="177"/>
      <c r="U72" s="177"/>
      <c r="V72" s="177"/>
      <c r="W72" s="177"/>
      <c r="X72" s="177"/>
      <c r="Y72" s="285"/>
    </row>
    <row r="73" spans="3:25" ht="6.75" customHeight="1"/>
    <row r="74" spans="3:25">
      <c r="E74" s="573"/>
      <c r="F74" s="574"/>
      <c r="G74" s="574"/>
      <c r="H74" s="574"/>
      <c r="I74" s="574"/>
      <c r="J74" s="574"/>
      <c r="K74" s="574"/>
      <c r="L74" s="574"/>
      <c r="M74" s="574"/>
      <c r="N74" s="574"/>
      <c r="O74" s="574"/>
      <c r="P74" s="574"/>
      <c r="Q74" s="574"/>
      <c r="R74" s="574"/>
    </row>
    <row r="75" spans="3:25" ht="10.5" customHeight="1">
      <c r="E75" s="575"/>
      <c r="F75" s="576"/>
      <c r="G75" s="160"/>
      <c r="H75" s="160"/>
      <c r="I75" s="160"/>
      <c r="J75" s="160"/>
      <c r="K75" s="160"/>
      <c r="L75" s="576"/>
      <c r="M75" s="577"/>
      <c r="N75" s="160"/>
      <c r="O75" s="160"/>
      <c r="P75" s="255"/>
      <c r="Q75" s="255"/>
      <c r="R75" s="255"/>
      <c r="S75" s="255"/>
      <c r="T75" s="255"/>
      <c r="U75" s="160"/>
      <c r="V75" s="160"/>
      <c r="W75" s="160"/>
    </row>
    <row r="76" spans="3:25" ht="10.5" customHeight="1">
      <c r="E76" s="576"/>
      <c r="F76" s="576"/>
      <c r="G76" s="160"/>
      <c r="H76" s="574"/>
      <c r="I76" s="574"/>
      <c r="J76" s="574"/>
      <c r="K76" s="160"/>
      <c r="L76" s="577"/>
      <c r="M76" s="577"/>
      <c r="N76" s="160"/>
      <c r="O76" s="255"/>
      <c r="P76" s="160"/>
      <c r="Q76" s="185"/>
      <c r="R76" s="160"/>
      <c r="S76" s="255"/>
      <c r="T76" s="160"/>
      <c r="U76" s="240"/>
      <c r="V76" s="160"/>
      <c r="W76" s="160"/>
    </row>
    <row r="77" spans="3:25">
      <c r="E77" s="576"/>
      <c r="F77" s="576"/>
      <c r="G77" s="160"/>
      <c r="H77" s="160"/>
      <c r="I77" s="160"/>
      <c r="J77" s="160"/>
      <c r="K77" s="160"/>
      <c r="L77" s="577"/>
      <c r="M77" s="577"/>
      <c r="N77" s="160"/>
      <c r="O77" s="160"/>
      <c r="P77" s="255"/>
      <c r="Q77" s="255"/>
      <c r="R77" s="255"/>
      <c r="S77" s="255"/>
      <c r="T77" s="255"/>
      <c r="U77" s="160"/>
      <c r="V77" s="160"/>
      <c r="W77" s="160"/>
    </row>
  </sheetData>
  <mergeCells count="60">
    <mergeCell ref="E13:F15"/>
    <mergeCell ref="G10:W10"/>
    <mergeCell ref="E6:W6"/>
    <mergeCell ref="E9:W9"/>
    <mergeCell ref="E10:F10"/>
    <mergeCell ref="E11:F11"/>
    <mergeCell ref="E12:F12"/>
    <mergeCell ref="G11:W11"/>
    <mergeCell ref="E34:W34"/>
    <mergeCell ref="E17:F17"/>
    <mergeCell ref="E20:F20"/>
    <mergeCell ref="E22:F24"/>
    <mergeCell ref="M22:M24"/>
    <mergeCell ref="Q22:R24"/>
    <mergeCell ref="S23:W23"/>
    <mergeCell ref="E25:F27"/>
    <mergeCell ref="Q25:R27"/>
    <mergeCell ref="E28:F30"/>
    <mergeCell ref="E31:F33"/>
    <mergeCell ref="G16:W18"/>
    <mergeCell ref="G22:L24"/>
    <mergeCell ref="N22:P24"/>
    <mergeCell ref="E35:W35"/>
    <mergeCell ref="E36:W36"/>
    <mergeCell ref="E37:W37"/>
    <mergeCell ref="E41:X41"/>
    <mergeCell ref="F42:K42"/>
    <mergeCell ref="N42:V42"/>
    <mergeCell ref="N43:V43"/>
    <mergeCell ref="F46:S46"/>
    <mergeCell ref="F47:W47"/>
    <mergeCell ref="E50:W50"/>
    <mergeCell ref="E51:F53"/>
    <mergeCell ref="L51:M53"/>
    <mergeCell ref="N51:Q51"/>
    <mergeCell ref="H52:J52"/>
    <mergeCell ref="F43:L43"/>
    <mergeCell ref="E66:E71"/>
    <mergeCell ref="F66:K66"/>
    <mergeCell ref="L66:R66"/>
    <mergeCell ref="S66:W66"/>
    <mergeCell ref="S67:W68"/>
    <mergeCell ref="F69:W69"/>
    <mergeCell ref="F70:W71"/>
    <mergeCell ref="F64:W65"/>
    <mergeCell ref="E57:N57"/>
    <mergeCell ref="O57:W57"/>
    <mergeCell ref="E58:N59"/>
    <mergeCell ref="O58:W59"/>
    <mergeCell ref="E60:E65"/>
    <mergeCell ref="F60:K60"/>
    <mergeCell ref="L60:R60"/>
    <mergeCell ref="S60:W60"/>
    <mergeCell ref="S61:W62"/>
    <mergeCell ref="F63:W63"/>
    <mergeCell ref="E74:I74"/>
    <mergeCell ref="J74:R74"/>
    <mergeCell ref="E75:F77"/>
    <mergeCell ref="L75:M77"/>
    <mergeCell ref="H76:J76"/>
  </mergeCells>
  <phoneticPr fontId="18"/>
  <pageMargins left="0.7" right="0.7" top="0.75" bottom="0.75" header="0.3" footer="0.3"/>
  <pageSetup paperSize="9" scale="93" orientation="portrait" r:id="rId1"/>
  <rowBreaks count="1" manualBreakCount="1">
    <brk id="73"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N65"/>
  <sheetViews>
    <sheetView view="pageBreakPreview" zoomScale="60" zoomScaleNormal="100" workbookViewId="0">
      <selection activeCell="H13" sqref="H13:AJ15"/>
    </sheetView>
  </sheetViews>
  <sheetFormatPr defaultColWidth="9" defaultRowHeight="12"/>
  <cols>
    <col min="1" max="3" width="2.58203125" style="104" customWidth="1"/>
    <col min="4" max="5" width="3.83203125" style="104" customWidth="1"/>
    <col min="6" max="7" width="3" style="104" customWidth="1"/>
    <col min="8" max="23" width="2.58203125" style="104" customWidth="1"/>
    <col min="24" max="27" width="2.33203125" style="104" customWidth="1"/>
    <col min="28" max="40" width="2.58203125" style="104" customWidth="1"/>
    <col min="41" max="16384" width="9" style="104"/>
  </cols>
  <sheetData>
    <row r="1" spans="1:40" ht="9" customHeight="1"/>
    <row r="2" spans="1:40" ht="14.25" customHeight="1">
      <c r="A2" s="105"/>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row>
    <row r="3" spans="1:40" ht="14.25" customHeight="1">
      <c r="A3" s="105"/>
      <c r="B3" s="105"/>
      <c r="C3" s="106"/>
      <c r="D3" s="107"/>
      <c r="E3" s="107"/>
      <c r="F3" s="107"/>
      <c r="G3" s="107"/>
      <c r="H3" s="107"/>
      <c r="I3" s="148"/>
      <c r="J3" s="107"/>
      <c r="K3" s="107"/>
      <c r="L3" s="107"/>
      <c r="M3" s="107"/>
      <c r="N3" s="107"/>
      <c r="O3" s="107"/>
      <c r="P3" s="149"/>
      <c r="Q3" s="107"/>
      <c r="R3" s="107"/>
      <c r="S3" s="107"/>
      <c r="T3" s="107"/>
      <c r="U3" s="107"/>
      <c r="V3" s="107"/>
      <c r="W3" s="107"/>
      <c r="X3" s="107"/>
      <c r="Y3" s="107"/>
      <c r="Z3" s="107"/>
      <c r="AA3" s="107"/>
      <c r="AB3" s="107"/>
      <c r="AC3" s="107"/>
      <c r="AD3" s="107"/>
      <c r="AE3" s="107"/>
      <c r="AF3" s="107"/>
      <c r="AG3" s="107"/>
      <c r="AH3" s="107"/>
      <c r="AI3" s="107"/>
      <c r="AJ3" s="107"/>
      <c r="AK3" s="108"/>
      <c r="AL3" s="105"/>
      <c r="AM3" s="105"/>
      <c r="AN3" s="105"/>
    </row>
    <row r="4" spans="1:40" ht="14.25" customHeight="1">
      <c r="C4" s="111"/>
      <c r="D4" s="112"/>
      <c r="E4" s="112"/>
      <c r="F4" s="112"/>
      <c r="G4" s="112"/>
      <c r="H4" s="113"/>
      <c r="I4" s="113"/>
      <c r="J4" s="112"/>
      <c r="K4" s="112"/>
      <c r="L4" s="112"/>
      <c r="M4" s="691" t="s">
        <v>145</v>
      </c>
      <c r="N4" s="691"/>
      <c r="O4" s="691"/>
      <c r="P4" s="691"/>
      <c r="Q4" s="691"/>
      <c r="R4" s="691"/>
      <c r="S4" s="691"/>
      <c r="T4" s="691"/>
      <c r="U4" s="691"/>
      <c r="V4" s="691"/>
      <c r="W4" s="691"/>
      <c r="X4" s="691"/>
      <c r="Y4" s="691"/>
      <c r="Z4" s="691"/>
      <c r="AA4" s="691"/>
      <c r="AB4" s="113"/>
      <c r="AC4" s="113"/>
      <c r="AD4" s="113"/>
      <c r="AE4" s="113"/>
      <c r="AF4" s="113"/>
      <c r="AG4" s="113"/>
      <c r="AH4" s="113"/>
      <c r="AI4" s="113"/>
      <c r="AJ4" s="113"/>
      <c r="AK4" s="114"/>
      <c r="AL4" s="113"/>
      <c r="AM4" s="113"/>
      <c r="AN4" s="105"/>
    </row>
    <row r="5" spans="1:40" ht="14.25" customHeight="1">
      <c r="B5" s="150"/>
      <c r="C5" s="151"/>
      <c r="D5" s="572" t="s">
        <v>146</v>
      </c>
      <c r="E5" s="572"/>
      <c r="F5" s="572"/>
      <c r="G5" s="572"/>
      <c r="H5" s="572"/>
      <c r="I5" s="572"/>
      <c r="J5" s="572"/>
      <c r="K5" s="572"/>
      <c r="L5" s="572"/>
      <c r="M5" s="572"/>
      <c r="N5" s="572"/>
      <c r="O5" s="572"/>
      <c r="P5" s="572"/>
      <c r="Q5" s="572"/>
      <c r="R5" s="572"/>
      <c r="S5" s="572"/>
      <c r="T5" s="572"/>
      <c r="U5" s="572"/>
      <c r="V5" s="572"/>
      <c r="W5" s="572"/>
      <c r="X5" s="572"/>
      <c r="Y5" s="572"/>
      <c r="Z5" s="572"/>
      <c r="AA5" s="572"/>
      <c r="AB5" s="572"/>
      <c r="AC5" s="572"/>
      <c r="AD5" s="572"/>
      <c r="AE5" s="572"/>
      <c r="AF5" s="572"/>
      <c r="AG5" s="572"/>
      <c r="AH5" s="572"/>
      <c r="AI5" s="572"/>
      <c r="AJ5" s="572"/>
      <c r="AK5" s="152"/>
      <c r="AL5" s="150"/>
      <c r="AM5" s="113"/>
      <c r="AN5" s="105"/>
    </row>
    <row r="6" spans="1:40" ht="14.25" customHeight="1">
      <c r="A6" s="105"/>
      <c r="B6" s="105"/>
      <c r="C6" s="109"/>
      <c r="D6" s="105"/>
      <c r="E6" s="105"/>
      <c r="F6" s="105"/>
      <c r="G6" s="105"/>
      <c r="H6" s="115"/>
      <c r="I6" s="115"/>
      <c r="J6" s="115"/>
      <c r="K6" s="116"/>
      <c r="L6" s="116"/>
      <c r="M6" s="116"/>
      <c r="N6" s="116"/>
      <c r="O6" s="116"/>
      <c r="P6" s="116"/>
      <c r="Q6" s="116"/>
      <c r="R6" s="116"/>
      <c r="S6" s="116"/>
      <c r="T6" s="116"/>
      <c r="U6" s="116"/>
      <c r="V6" s="116"/>
      <c r="W6" s="116"/>
      <c r="X6" s="116"/>
      <c r="Y6" s="116"/>
      <c r="Z6" s="116"/>
      <c r="AA6" s="116"/>
      <c r="AB6" s="116"/>
      <c r="AC6" s="116"/>
      <c r="AD6" s="105"/>
      <c r="AE6" s="105"/>
      <c r="AF6" s="105"/>
      <c r="AG6" s="105"/>
      <c r="AH6" s="105"/>
      <c r="AI6" s="105"/>
      <c r="AJ6" s="105"/>
      <c r="AK6" s="110"/>
      <c r="AL6" s="105"/>
      <c r="AM6" s="105"/>
      <c r="AN6" s="105"/>
    </row>
    <row r="7" spans="1:40" ht="14.25" customHeight="1">
      <c r="A7" s="105"/>
      <c r="B7" s="105"/>
      <c r="C7" s="109"/>
      <c r="D7" s="105" t="s">
        <v>120</v>
      </c>
      <c r="E7" s="105"/>
      <c r="F7" s="105"/>
      <c r="G7" s="105"/>
      <c r="H7" s="115"/>
      <c r="I7" s="115"/>
      <c r="J7" s="115"/>
      <c r="K7" s="116"/>
      <c r="L7" s="116"/>
      <c r="M7" s="116"/>
      <c r="N7" s="116"/>
      <c r="O7" s="116"/>
      <c r="P7" s="116"/>
      <c r="Q7" s="116"/>
      <c r="R7" s="116"/>
      <c r="S7" s="116"/>
      <c r="T7" s="116"/>
      <c r="U7" s="116"/>
      <c r="V7" s="116"/>
      <c r="W7" s="116"/>
      <c r="X7" s="116"/>
      <c r="Y7" s="116"/>
      <c r="Z7" s="116"/>
      <c r="AA7" s="116"/>
      <c r="AB7" s="116"/>
      <c r="AC7" s="116"/>
      <c r="AD7" s="105"/>
      <c r="AE7" s="105"/>
      <c r="AF7" s="105"/>
      <c r="AG7" s="105"/>
      <c r="AH7" s="105"/>
      <c r="AI7" s="105"/>
      <c r="AJ7" s="105"/>
      <c r="AK7" s="110"/>
      <c r="AL7" s="105"/>
      <c r="AM7" s="105"/>
      <c r="AN7" s="105"/>
    </row>
    <row r="8" spans="1:40" ht="10.5" customHeight="1">
      <c r="A8" s="105"/>
      <c r="B8" s="105"/>
      <c r="C8" s="109"/>
      <c r="D8" s="105"/>
      <c r="E8" s="105"/>
      <c r="F8" s="105"/>
      <c r="G8" s="105"/>
      <c r="H8" s="115"/>
      <c r="I8" s="115"/>
      <c r="J8" s="115"/>
      <c r="K8" s="116"/>
      <c r="L8" s="116"/>
      <c r="M8" s="116"/>
      <c r="N8" s="116"/>
      <c r="O8" s="116"/>
      <c r="P8" s="116"/>
      <c r="Q8" s="116"/>
      <c r="R8" s="116"/>
      <c r="S8" s="116"/>
      <c r="T8" s="116"/>
      <c r="U8" s="116"/>
      <c r="V8" s="116"/>
      <c r="W8" s="116"/>
      <c r="X8" s="116"/>
      <c r="Y8" s="116"/>
      <c r="Z8" s="116"/>
      <c r="AA8" s="116"/>
      <c r="AB8" s="116"/>
      <c r="AC8" s="116"/>
      <c r="AD8" s="105"/>
      <c r="AE8" s="105"/>
      <c r="AF8" s="105"/>
      <c r="AG8" s="105"/>
      <c r="AH8" s="105"/>
      <c r="AI8" s="105"/>
      <c r="AJ8" s="105"/>
      <c r="AK8" s="110"/>
      <c r="AL8" s="105"/>
      <c r="AM8" s="105"/>
      <c r="AN8" s="105"/>
    </row>
    <row r="9" spans="1:40" ht="14.25" customHeight="1">
      <c r="A9" s="105"/>
      <c r="B9" s="105"/>
      <c r="C9" s="109"/>
      <c r="D9" s="118"/>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483">
        <f ca="1">TODAY()</f>
        <v>46316</v>
      </c>
      <c r="AE9" s="483"/>
      <c r="AF9" s="483"/>
      <c r="AG9" s="483"/>
      <c r="AH9" s="483"/>
      <c r="AI9" s="483"/>
      <c r="AJ9" s="483"/>
      <c r="AK9" s="120"/>
      <c r="AL9" s="121"/>
      <c r="AM9" s="105"/>
      <c r="AN9" s="105"/>
    </row>
    <row r="10" spans="1:40" ht="14.25" customHeight="1">
      <c r="A10" s="105"/>
      <c r="B10" s="105"/>
      <c r="C10" s="109"/>
      <c r="D10" s="558" t="s">
        <v>122</v>
      </c>
      <c r="E10" s="559"/>
      <c r="F10" s="559"/>
      <c r="G10" s="559"/>
      <c r="H10" s="564"/>
      <c r="I10" s="564"/>
      <c r="J10" s="564"/>
      <c r="K10" s="564"/>
      <c r="L10" s="564"/>
      <c r="M10" s="564"/>
      <c r="N10" s="564"/>
      <c r="O10" s="564"/>
      <c r="P10" s="568" t="s">
        <v>147</v>
      </c>
      <c r="Q10" s="569"/>
      <c r="R10" s="454"/>
      <c r="S10" s="455"/>
      <c r="T10" s="566">
        <f>証明書!AL2</f>
        <v>16851</v>
      </c>
      <c r="U10" s="566"/>
      <c r="V10" s="567"/>
      <c r="W10" s="567"/>
      <c r="X10" s="567"/>
      <c r="Y10" s="567"/>
      <c r="Z10" s="567"/>
      <c r="AA10" s="567"/>
      <c r="AB10" s="567"/>
      <c r="AC10" s="567"/>
      <c r="AD10" s="568" t="s">
        <v>148</v>
      </c>
      <c r="AE10" s="569"/>
      <c r="AF10" s="455"/>
      <c r="AG10" s="453" t="str">
        <f>証明書!AM2</f>
        <v>男</v>
      </c>
      <c r="AH10" s="454"/>
      <c r="AI10" s="454"/>
      <c r="AJ10" s="455"/>
      <c r="AK10" s="122"/>
      <c r="AL10" s="117"/>
      <c r="AM10" s="105"/>
      <c r="AN10" s="105"/>
    </row>
    <row r="11" spans="1:40" ht="14.25" customHeight="1">
      <c r="A11" s="105"/>
      <c r="B11" s="105"/>
      <c r="C11" s="109"/>
      <c r="D11" s="560"/>
      <c r="E11" s="561"/>
      <c r="F11" s="561"/>
      <c r="G11" s="561"/>
      <c r="H11" s="564"/>
      <c r="I11" s="564"/>
      <c r="J11" s="564"/>
      <c r="K11" s="564"/>
      <c r="L11" s="564"/>
      <c r="M11" s="564"/>
      <c r="N11" s="564"/>
      <c r="O11" s="564"/>
      <c r="P11" s="570"/>
      <c r="Q11" s="571"/>
      <c r="R11" s="457"/>
      <c r="S11" s="458"/>
      <c r="T11" s="566"/>
      <c r="U11" s="566"/>
      <c r="V11" s="567"/>
      <c r="W11" s="567"/>
      <c r="X11" s="567"/>
      <c r="Y11" s="567"/>
      <c r="Z11" s="567"/>
      <c r="AA11" s="567"/>
      <c r="AB11" s="567"/>
      <c r="AC11" s="567"/>
      <c r="AD11" s="570"/>
      <c r="AE11" s="571"/>
      <c r="AF11" s="458"/>
      <c r="AG11" s="456"/>
      <c r="AH11" s="457"/>
      <c r="AI11" s="457"/>
      <c r="AJ11" s="458"/>
      <c r="AK11" s="122"/>
      <c r="AL11" s="117"/>
      <c r="AM11" s="105"/>
      <c r="AN11" s="105"/>
    </row>
    <row r="12" spans="1:40" ht="14.25" customHeight="1">
      <c r="A12" s="105"/>
      <c r="B12" s="105"/>
      <c r="C12" s="109"/>
      <c r="D12" s="560"/>
      <c r="E12" s="561"/>
      <c r="F12" s="561"/>
      <c r="G12" s="561"/>
      <c r="H12" s="692"/>
      <c r="I12" s="692"/>
      <c r="J12" s="692"/>
      <c r="K12" s="692"/>
      <c r="L12" s="692"/>
      <c r="M12" s="692"/>
      <c r="N12" s="692"/>
      <c r="O12" s="692"/>
      <c r="P12" s="570"/>
      <c r="Q12" s="571"/>
      <c r="R12" s="457"/>
      <c r="S12" s="458"/>
      <c r="T12" s="693"/>
      <c r="U12" s="693"/>
      <c r="V12" s="693"/>
      <c r="W12" s="693"/>
      <c r="X12" s="693"/>
      <c r="Y12" s="693"/>
      <c r="Z12" s="693"/>
      <c r="AA12" s="693"/>
      <c r="AB12" s="693"/>
      <c r="AC12" s="693"/>
      <c r="AD12" s="570"/>
      <c r="AE12" s="571"/>
      <c r="AF12" s="458"/>
      <c r="AG12" s="456"/>
      <c r="AH12" s="457"/>
      <c r="AI12" s="457"/>
      <c r="AJ12" s="458"/>
      <c r="AK12" s="122"/>
      <c r="AL12" s="117"/>
      <c r="AM12" s="105"/>
      <c r="AN12" s="105"/>
    </row>
    <row r="13" spans="1:40" ht="14.25" customHeight="1">
      <c r="A13" s="105"/>
      <c r="B13" s="105"/>
      <c r="C13" s="109"/>
      <c r="D13" s="540" t="s">
        <v>149</v>
      </c>
      <c r="E13" s="541"/>
      <c r="F13" s="541"/>
      <c r="G13" s="542"/>
      <c r="H13" s="682" t="str">
        <f>証明書!AJ2</f>
        <v>乙川　二郎</v>
      </c>
      <c r="I13" s="683"/>
      <c r="J13" s="683"/>
      <c r="K13" s="683"/>
      <c r="L13" s="683"/>
      <c r="M13" s="683"/>
      <c r="N13" s="683"/>
      <c r="O13" s="683"/>
      <c r="P13" s="683"/>
      <c r="Q13" s="683"/>
      <c r="R13" s="683"/>
      <c r="S13" s="683"/>
      <c r="T13" s="683"/>
      <c r="U13" s="683"/>
      <c r="V13" s="683"/>
      <c r="W13" s="683"/>
      <c r="X13" s="683"/>
      <c r="Y13" s="683"/>
      <c r="Z13" s="683"/>
      <c r="AA13" s="683"/>
      <c r="AB13" s="683"/>
      <c r="AC13" s="683"/>
      <c r="AD13" s="683"/>
      <c r="AE13" s="683"/>
      <c r="AF13" s="683"/>
      <c r="AG13" s="683"/>
      <c r="AH13" s="683"/>
      <c r="AI13" s="683"/>
      <c r="AJ13" s="684"/>
      <c r="AK13" s="123"/>
      <c r="AL13" s="124"/>
      <c r="AM13" s="105"/>
      <c r="AN13" s="105"/>
    </row>
    <row r="14" spans="1:40" ht="14.25" customHeight="1">
      <c r="A14" s="105"/>
      <c r="B14" s="105"/>
      <c r="C14" s="109"/>
      <c r="D14" s="543"/>
      <c r="E14" s="544"/>
      <c r="F14" s="544"/>
      <c r="G14" s="545"/>
      <c r="H14" s="685"/>
      <c r="I14" s="686"/>
      <c r="J14" s="686"/>
      <c r="K14" s="686"/>
      <c r="L14" s="686"/>
      <c r="M14" s="686"/>
      <c r="N14" s="686"/>
      <c r="O14" s="686"/>
      <c r="P14" s="686"/>
      <c r="Q14" s="686"/>
      <c r="R14" s="686"/>
      <c r="S14" s="686"/>
      <c r="T14" s="686"/>
      <c r="U14" s="686"/>
      <c r="V14" s="686"/>
      <c r="W14" s="686"/>
      <c r="X14" s="686"/>
      <c r="Y14" s="686"/>
      <c r="Z14" s="686"/>
      <c r="AA14" s="686"/>
      <c r="AB14" s="686"/>
      <c r="AC14" s="686"/>
      <c r="AD14" s="686"/>
      <c r="AE14" s="686"/>
      <c r="AF14" s="686"/>
      <c r="AG14" s="686"/>
      <c r="AH14" s="686"/>
      <c r="AI14" s="686"/>
      <c r="AJ14" s="687"/>
      <c r="AK14" s="123"/>
      <c r="AL14" s="124"/>
      <c r="AM14" s="105"/>
      <c r="AN14" s="105"/>
    </row>
    <row r="15" spans="1:40" ht="14.25" customHeight="1">
      <c r="A15" s="105"/>
      <c r="B15" s="105"/>
      <c r="C15" s="109"/>
      <c r="D15" s="543"/>
      <c r="E15" s="544"/>
      <c r="F15" s="544"/>
      <c r="G15" s="545"/>
      <c r="H15" s="688"/>
      <c r="I15" s="689"/>
      <c r="J15" s="689"/>
      <c r="K15" s="689"/>
      <c r="L15" s="689"/>
      <c r="M15" s="689"/>
      <c r="N15" s="689"/>
      <c r="O15" s="689"/>
      <c r="P15" s="689"/>
      <c r="Q15" s="689"/>
      <c r="R15" s="689"/>
      <c r="S15" s="689"/>
      <c r="T15" s="689"/>
      <c r="U15" s="689"/>
      <c r="V15" s="689"/>
      <c r="W15" s="689"/>
      <c r="X15" s="689"/>
      <c r="Y15" s="689"/>
      <c r="Z15" s="689"/>
      <c r="AA15" s="689"/>
      <c r="AB15" s="689"/>
      <c r="AC15" s="689"/>
      <c r="AD15" s="689"/>
      <c r="AE15" s="689"/>
      <c r="AF15" s="689"/>
      <c r="AG15" s="689"/>
      <c r="AH15" s="689"/>
      <c r="AI15" s="689"/>
      <c r="AJ15" s="690"/>
      <c r="AK15" s="123"/>
      <c r="AL15" s="124"/>
      <c r="AM15" s="105"/>
      <c r="AN15" s="105"/>
    </row>
    <row r="16" spans="1:40" ht="14.25" customHeight="1">
      <c r="A16" s="105"/>
      <c r="B16" s="105"/>
      <c r="C16" s="109"/>
      <c r="D16" s="530" t="s">
        <v>127</v>
      </c>
      <c r="E16" s="530"/>
      <c r="F16" s="530"/>
      <c r="G16" s="530"/>
      <c r="H16" s="549" t="str">
        <f>"北海道河西郡"&amp;証明書!AN3</f>
        <v>北海道河西郡芽室町中央二丁目２番地　</v>
      </c>
      <c r="I16" s="550"/>
      <c r="J16" s="550"/>
      <c r="K16" s="550"/>
      <c r="L16" s="550"/>
      <c r="M16" s="550"/>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1"/>
      <c r="AK16" s="123"/>
      <c r="AL16" s="124"/>
      <c r="AM16" s="105"/>
      <c r="AN16" s="105"/>
    </row>
    <row r="17" spans="1:40" ht="14.25" customHeight="1">
      <c r="A17" s="105"/>
      <c r="B17" s="105"/>
      <c r="C17" s="109"/>
      <c r="D17" s="530"/>
      <c r="E17" s="530"/>
      <c r="F17" s="530"/>
      <c r="G17" s="530"/>
      <c r="H17" s="552"/>
      <c r="I17" s="553"/>
      <c r="J17" s="553"/>
      <c r="K17" s="553"/>
      <c r="L17" s="553"/>
      <c r="M17" s="553"/>
      <c r="N17" s="553"/>
      <c r="O17" s="553"/>
      <c r="P17" s="553"/>
      <c r="Q17" s="553"/>
      <c r="R17" s="553"/>
      <c r="S17" s="553"/>
      <c r="T17" s="553"/>
      <c r="U17" s="553"/>
      <c r="V17" s="553"/>
      <c r="W17" s="553"/>
      <c r="X17" s="553"/>
      <c r="Y17" s="553"/>
      <c r="Z17" s="553"/>
      <c r="AA17" s="553"/>
      <c r="AB17" s="553"/>
      <c r="AC17" s="553"/>
      <c r="AD17" s="553"/>
      <c r="AE17" s="553"/>
      <c r="AF17" s="553"/>
      <c r="AG17" s="553"/>
      <c r="AH17" s="553"/>
      <c r="AI17" s="553"/>
      <c r="AJ17" s="554"/>
      <c r="AK17" s="123"/>
      <c r="AL17" s="124"/>
      <c r="AM17" s="105"/>
      <c r="AN17" s="105"/>
    </row>
    <row r="18" spans="1:40" ht="14.25" customHeight="1">
      <c r="A18" s="105"/>
      <c r="B18" s="105"/>
      <c r="C18" s="109"/>
      <c r="D18" s="530"/>
      <c r="E18" s="530"/>
      <c r="F18" s="530"/>
      <c r="G18" s="530"/>
      <c r="H18" s="555"/>
      <c r="I18" s="556"/>
      <c r="J18" s="556"/>
      <c r="K18" s="556"/>
      <c r="L18" s="556"/>
      <c r="M18" s="556"/>
      <c r="N18" s="556"/>
      <c r="O18" s="556"/>
      <c r="P18" s="556"/>
      <c r="Q18" s="556"/>
      <c r="R18" s="556"/>
      <c r="S18" s="556"/>
      <c r="T18" s="556"/>
      <c r="U18" s="556"/>
      <c r="V18" s="556"/>
      <c r="W18" s="556"/>
      <c r="X18" s="556"/>
      <c r="Y18" s="556"/>
      <c r="Z18" s="556"/>
      <c r="AA18" s="556"/>
      <c r="AB18" s="556"/>
      <c r="AC18" s="556"/>
      <c r="AD18" s="556"/>
      <c r="AE18" s="556"/>
      <c r="AF18" s="556"/>
      <c r="AG18" s="556"/>
      <c r="AH18" s="556"/>
      <c r="AI18" s="556"/>
      <c r="AJ18" s="557"/>
      <c r="AK18" s="123"/>
      <c r="AL18" s="124"/>
      <c r="AM18" s="105"/>
      <c r="AN18" s="105"/>
    </row>
    <row r="19" spans="1:40" ht="14.25" customHeight="1">
      <c r="A19" s="105"/>
      <c r="B19" s="105"/>
      <c r="C19" s="109"/>
      <c r="D19" s="530" t="s">
        <v>128</v>
      </c>
      <c r="E19" s="530"/>
      <c r="F19" s="530"/>
      <c r="G19" s="530"/>
      <c r="H19" s="484"/>
      <c r="I19" s="485"/>
      <c r="J19" s="485"/>
      <c r="K19" s="485"/>
      <c r="L19" s="485"/>
      <c r="M19" s="485"/>
      <c r="N19" s="485"/>
      <c r="O19" s="485"/>
      <c r="P19" s="485"/>
      <c r="Q19" s="485"/>
      <c r="R19" s="485"/>
      <c r="S19" s="485"/>
      <c r="T19" s="485"/>
      <c r="U19" s="485"/>
      <c r="V19" s="485"/>
      <c r="W19" s="485"/>
      <c r="X19" s="485"/>
      <c r="Y19" s="485"/>
      <c r="Z19" s="485"/>
      <c r="AA19" s="485"/>
      <c r="AB19" s="485"/>
      <c r="AC19" s="485"/>
      <c r="AD19" s="485"/>
      <c r="AE19" s="485"/>
      <c r="AF19" s="485"/>
      <c r="AG19" s="485"/>
      <c r="AH19" s="485"/>
      <c r="AI19" s="485"/>
      <c r="AJ19" s="486"/>
      <c r="AK19" s="122"/>
      <c r="AL19" s="117"/>
      <c r="AM19" s="105"/>
      <c r="AN19" s="105"/>
    </row>
    <row r="20" spans="1:40" ht="14.25" customHeight="1">
      <c r="A20" s="105"/>
      <c r="B20" s="105"/>
      <c r="C20" s="109"/>
      <c r="D20" s="530"/>
      <c r="E20" s="530"/>
      <c r="F20" s="530"/>
      <c r="G20" s="530"/>
      <c r="H20" s="490"/>
      <c r="I20" s="491"/>
      <c r="J20" s="491"/>
      <c r="K20" s="491"/>
      <c r="L20" s="491"/>
      <c r="M20" s="491"/>
      <c r="N20" s="491"/>
      <c r="O20" s="491"/>
      <c r="P20" s="491"/>
      <c r="Q20" s="491"/>
      <c r="R20" s="491"/>
      <c r="S20" s="491"/>
      <c r="T20" s="491"/>
      <c r="U20" s="491"/>
      <c r="V20" s="491"/>
      <c r="W20" s="491"/>
      <c r="X20" s="491"/>
      <c r="Y20" s="491"/>
      <c r="Z20" s="491"/>
      <c r="AA20" s="491"/>
      <c r="AB20" s="491"/>
      <c r="AC20" s="491"/>
      <c r="AD20" s="491"/>
      <c r="AE20" s="491"/>
      <c r="AF20" s="491"/>
      <c r="AG20" s="491"/>
      <c r="AH20" s="491"/>
      <c r="AI20" s="491"/>
      <c r="AJ20" s="492"/>
      <c r="AK20" s="122"/>
      <c r="AL20" s="117"/>
      <c r="AM20" s="105"/>
      <c r="AN20" s="105"/>
    </row>
    <row r="21" spans="1:40" ht="14.25" customHeight="1">
      <c r="A21" s="105"/>
      <c r="B21" s="105"/>
      <c r="C21" s="109"/>
      <c r="D21" s="462" t="s">
        <v>150</v>
      </c>
      <c r="E21" s="463"/>
      <c r="F21" s="463"/>
      <c r="G21" s="464"/>
      <c r="H21" s="484"/>
      <c r="I21" s="485"/>
      <c r="J21" s="485"/>
      <c r="K21" s="485"/>
      <c r="L21" s="485"/>
      <c r="M21" s="485"/>
      <c r="N21" s="485"/>
      <c r="O21" s="485"/>
      <c r="P21" s="485"/>
      <c r="Q21" s="485"/>
      <c r="R21" s="485"/>
      <c r="S21" s="485"/>
      <c r="T21" s="485"/>
      <c r="U21" s="485"/>
      <c r="V21" s="485"/>
      <c r="W21" s="485"/>
      <c r="X21" s="485"/>
      <c r="Y21" s="485"/>
      <c r="Z21" s="485"/>
      <c r="AA21" s="485"/>
      <c r="AB21" s="485"/>
      <c r="AC21" s="485"/>
      <c r="AD21" s="485"/>
      <c r="AE21" s="485"/>
      <c r="AF21" s="485"/>
      <c r="AG21" s="485"/>
      <c r="AH21" s="485"/>
      <c r="AI21" s="485"/>
      <c r="AJ21" s="486"/>
      <c r="AK21" s="123"/>
      <c r="AL21" s="124"/>
      <c r="AM21" s="105"/>
      <c r="AN21" s="105"/>
    </row>
    <row r="22" spans="1:40" ht="14.25" customHeight="1">
      <c r="A22" s="105"/>
      <c r="B22" s="105"/>
      <c r="C22" s="109"/>
      <c r="D22" s="465"/>
      <c r="E22" s="466"/>
      <c r="F22" s="466"/>
      <c r="G22" s="467"/>
      <c r="H22" s="487"/>
      <c r="I22" s="488"/>
      <c r="J22" s="488"/>
      <c r="K22" s="488"/>
      <c r="L22" s="488"/>
      <c r="M22" s="488"/>
      <c r="N22" s="488"/>
      <c r="O22" s="488"/>
      <c r="P22" s="488"/>
      <c r="Q22" s="488"/>
      <c r="R22" s="488"/>
      <c r="S22" s="488"/>
      <c r="T22" s="488"/>
      <c r="U22" s="488"/>
      <c r="V22" s="488"/>
      <c r="W22" s="488"/>
      <c r="X22" s="488"/>
      <c r="Y22" s="488"/>
      <c r="Z22" s="488"/>
      <c r="AA22" s="488"/>
      <c r="AB22" s="488"/>
      <c r="AC22" s="488"/>
      <c r="AD22" s="488"/>
      <c r="AE22" s="488"/>
      <c r="AF22" s="488"/>
      <c r="AG22" s="488"/>
      <c r="AH22" s="488"/>
      <c r="AI22" s="488"/>
      <c r="AJ22" s="489"/>
      <c r="AK22" s="123"/>
      <c r="AL22" s="124"/>
      <c r="AM22" s="105"/>
      <c r="AN22" s="105"/>
    </row>
    <row r="23" spans="1:40" ht="14.25" customHeight="1">
      <c r="A23" s="105"/>
      <c r="B23" s="105"/>
      <c r="C23" s="109"/>
      <c r="D23" s="465"/>
      <c r="E23" s="466"/>
      <c r="F23" s="466"/>
      <c r="G23" s="467"/>
      <c r="H23" s="487"/>
      <c r="I23" s="488"/>
      <c r="J23" s="488"/>
      <c r="K23" s="488"/>
      <c r="L23" s="488"/>
      <c r="M23" s="488"/>
      <c r="N23" s="488"/>
      <c r="O23" s="488"/>
      <c r="P23" s="488"/>
      <c r="Q23" s="488"/>
      <c r="R23" s="488"/>
      <c r="S23" s="488"/>
      <c r="T23" s="488"/>
      <c r="U23" s="488"/>
      <c r="V23" s="488"/>
      <c r="W23" s="488"/>
      <c r="X23" s="488"/>
      <c r="Y23" s="488"/>
      <c r="Z23" s="488"/>
      <c r="AA23" s="488"/>
      <c r="AB23" s="488"/>
      <c r="AC23" s="488"/>
      <c r="AD23" s="488"/>
      <c r="AE23" s="488"/>
      <c r="AF23" s="488"/>
      <c r="AG23" s="488"/>
      <c r="AH23" s="488"/>
      <c r="AI23" s="488"/>
      <c r="AJ23" s="489"/>
      <c r="AK23" s="123"/>
      <c r="AL23" s="124"/>
      <c r="AM23" s="105"/>
      <c r="AN23" s="105"/>
    </row>
    <row r="24" spans="1:40" ht="14.25" customHeight="1">
      <c r="A24" s="105"/>
      <c r="B24" s="105"/>
      <c r="C24" s="109"/>
      <c r="D24" s="465"/>
      <c r="E24" s="466"/>
      <c r="F24" s="466"/>
      <c r="G24" s="467"/>
      <c r="H24" s="490"/>
      <c r="I24" s="491"/>
      <c r="J24" s="491"/>
      <c r="K24" s="491"/>
      <c r="L24" s="491"/>
      <c r="M24" s="491"/>
      <c r="N24" s="491"/>
      <c r="O24" s="491"/>
      <c r="P24" s="491"/>
      <c r="Q24" s="491"/>
      <c r="R24" s="491"/>
      <c r="S24" s="491"/>
      <c r="T24" s="491"/>
      <c r="U24" s="491"/>
      <c r="V24" s="491"/>
      <c r="W24" s="491"/>
      <c r="X24" s="491"/>
      <c r="Y24" s="491"/>
      <c r="Z24" s="491"/>
      <c r="AA24" s="491"/>
      <c r="AB24" s="491"/>
      <c r="AC24" s="491"/>
      <c r="AD24" s="491"/>
      <c r="AE24" s="491"/>
      <c r="AF24" s="491"/>
      <c r="AG24" s="491"/>
      <c r="AH24" s="491"/>
      <c r="AI24" s="491"/>
      <c r="AJ24" s="492"/>
      <c r="AK24" s="123"/>
      <c r="AL24" s="124"/>
      <c r="AM24" s="105"/>
      <c r="AN24" s="105"/>
    </row>
    <row r="25" spans="1:40" ht="14.25" customHeight="1">
      <c r="A25" s="105"/>
      <c r="B25" s="105"/>
      <c r="C25" s="109"/>
      <c r="D25" s="462" t="s">
        <v>151</v>
      </c>
      <c r="E25" s="463"/>
      <c r="F25" s="463"/>
      <c r="G25" s="464"/>
      <c r="H25" s="153"/>
      <c r="I25" s="154"/>
      <c r="J25" s="154"/>
      <c r="K25" s="154"/>
      <c r="L25" s="154"/>
      <c r="M25" s="154"/>
      <c r="N25" s="154"/>
      <c r="O25" s="154"/>
      <c r="P25" s="154"/>
      <c r="Q25" s="154"/>
      <c r="R25" s="154"/>
      <c r="S25" s="154"/>
      <c r="T25" s="154"/>
      <c r="U25" s="154"/>
      <c r="V25" s="154"/>
      <c r="W25" s="154"/>
      <c r="X25" s="154"/>
      <c r="Y25" s="124"/>
      <c r="Z25" s="124"/>
      <c r="AA25" s="124"/>
      <c r="AB25" s="124"/>
      <c r="AC25" s="124"/>
      <c r="AD25" s="124"/>
      <c r="AE25" s="124"/>
      <c r="AF25" s="124"/>
      <c r="AG25" s="124"/>
      <c r="AH25" s="124"/>
      <c r="AI25" s="124"/>
      <c r="AJ25" s="123"/>
      <c r="AK25" s="123"/>
      <c r="AL25" s="124"/>
      <c r="AM25" s="105"/>
      <c r="AN25" s="105"/>
    </row>
    <row r="26" spans="1:40" ht="14.25" customHeight="1">
      <c r="A26" s="105"/>
      <c r="B26" s="105"/>
      <c r="C26" s="109"/>
      <c r="D26" s="465"/>
      <c r="E26" s="466"/>
      <c r="F26" s="466"/>
      <c r="G26" s="467"/>
      <c r="H26" s="153"/>
      <c r="I26" s="154" t="s">
        <v>152</v>
      </c>
      <c r="J26" s="154"/>
      <c r="K26" s="154"/>
      <c r="L26" s="154"/>
      <c r="M26" s="154"/>
      <c r="N26" s="125"/>
      <c r="O26" s="125"/>
      <c r="P26" s="154" t="s">
        <v>153</v>
      </c>
      <c r="Q26" s="154" t="s">
        <v>154</v>
      </c>
      <c r="R26" s="154"/>
      <c r="S26" s="154"/>
      <c r="T26" s="154"/>
      <c r="U26" s="125" t="s">
        <v>128</v>
      </c>
      <c r="V26" s="125"/>
      <c r="W26" s="125"/>
      <c r="X26" s="155"/>
      <c r="Y26" s="154" t="s">
        <v>152</v>
      </c>
      <c r="Z26" s="154"/>
      <c r="AA26" s="125"/>
      <c r="AB26" s="154" t="s">
        <v>153</v>
      </c>
      <c r="AC26" s="154"/>
      <c r="AD26" s="125"/>
      <c r="AE26" s="154" t="s">
        <v>155</v>
      </c>
      <c r="AF26" s="105"/>
      <c r="AG26" s="105"/>
      <c r="AH26" s="124"/>
      <c r="AI26" s="124"/>
      <c r="AJ26" s="123"/>
      <c r="AK26" s="123"/>
      <c r="AL26" s="124"/>
      <c r="AM26" s="105"/>
      <c r="AN26" s="105"/>
    </row>
    <row r="27" spans="1:40" ht="14.25" customHeight="1">
      <c r="A27" s="105"/>
      <c r="B27" s="105"/>
      <c r="C27" s="109"/>
      <c r="D27" s="468"/>
      <c r="E27" s="469"/>
      <c r="F27" s="469"/>
      <c r="G27" s="470"/>
      <c r="H27" s="156"/>
      <c r="I27" s="157"/>
      <c r="J27" s="157"/>
      <c r="K27" s="157"/>
      <c r="L27" s="157"/>
      <c r="M27" s="157"/>
      <c r="N27" s="157"/>
      <c r="O27" s="157"/>
      <c r="P27" s="157"/>
      <c r="Q27" s="157"/>
      <c r="R27" s="157"/>
      <c r="S27" s="157"/>
      <c r="T27" s="157"/>
      <c r="U27" s="157"/>
      <c r="V27" s="157"/>
      <c r="W27" s="157"/>
      <c r="X27" s="157"/>
      <c r="Y27" s="158"/>
      <c r="Z27" s="158"/>
      <c r="AA27" s="158"/>
      <c r="AB27" s="158"/>
      <c r="AC27" s="158"/>
      <c r="AD27" s="158"/>
      <c r="AE27" s="158"/>
      <c r="AF27" s="158"/>
      <c r="AG27" s="158"/>
      <c r="AH27" s="158"/>
      <c r="AI27" s="158"/>
      <c r="AJ27" s="159"/>
      <c r="AK27" s="123"/>
      <c r="AL27" s="124"/>
      <c r="AM27" s="105"/>
      <c r="AN27" s="105"/>
    </row>
    <row r="28" spans="1:40" ht="14.25" customHeight="1">
      <c r="A28" s="105"/>
      <c r="B28" s="105"/>
      <c r="C28" s="109"/>
      <c r="D28" s="462" t="s">
        <v>156</v>
      </c>
      <c r="E28" s="463"/>
      <c r="F28" s="463"/>
      <c r="G28" s="464"/>
      <c r="H28" s="453"/>
      <c r="I28" s="454"/>
      <c r="J28" s="454"/>
      <c r="K28" s="454"/>
      <c r="L28" s="454"/>
      <c r="M28" s="454"/>
      <c r="N28" s="454"/>
      <c r="O28" s="454"/>
      <c r="P28" s="454"/>
      <c r="Q28" s="454"/>
      <c r="R28" s="454"/>
      <c r="S28" s="454"/>
      <c r="T28" s="454"/>
      <c r="U28" s="454"/>
      <c r="V28" s="454"/>
      <c r="W28" s="454"/>
      <c r="X28" s="454"/>
      <c r="Y28" s="454"/>
      <c r="Z28" s="454"/>
      <c r="AA28" s="454"/>
      <c r="AB28" s="454"/>
      <c r="AC28" s="454"/>
      <c r="AD28" s="454"/>
      <c r="AE28" s="454"/>
      <c r="AF28" s="454"/>
      <c r="AG28" s="454"/>
      <c r="AH28" s="454"/>
      <c r="AI28" s="454"/>
      <c r="AJ28" s="455"/>
      <c r="AK28" s="123"/>
      <c r="AL28" s="124"/>
      <c r="AM28" s="105"/>
      <c r="AN28" s="105"/>
    </row>
    <row r="29" spans="1:40" ht="14.25" customHeight="1">
      <c r="A29" s="105"/>
      <c r="B29" s="105"/>
      <c r="C29" s="109"/>
      <c r="D29" s="468"/>
      <c r="E29" s="469"/>
      <c r="F29" s="469"/>
      <c r="G29" s="470"/>
      <c r="H29" s="459"/>
      <c r="I29" s="460"/>
      <c r="J29" s="460"/>
      <c r="K29" s="460"/>
      <c r="L29" s="460"/>
      <c r="M29" s="460"/>
      <c r="N29" s="460"/>
      <c r="O29" s="460"/>
      <c r="P29" s="460"/>
      <c r="Q29" s="460"/>
      <c r="R29" s="460"/>
      <c r="S29" s="460"/>
      <c r="T29" s="460"/>
      <c r="U29" s="460"/>
      <c r="V29" s="460"/>
      <c r="W29" s="460"/>
      <c r="X29" s="460"/>
      <c r="Y29" s="460"/>
      <c r="Z29" s="460"/>
      <c r="AA29" s="460"/>
      <c r="AB29" s="460"/>
      <c r="AC29" s="460"/>
      <c r="AD29" s="460"/>
      <c r="AE29" s="460"/>
      <c r="AF29" s="460"/>
      <c r="AG29" s="460"/>
      <c r="AH29" s="460"/>
      <c r="AI29" s="460"/>
      <c r="AJ29" s="461"/>
      <c r="AK29" s="123"/>
      <c r="AL29" s="124"/>
      <c r="AM29" s="105"/>
      <c r="AN29" s="105"/>
    </row>
    <row r="30" spans="1:40" ht="14.25" customHeight="1">
      <c r="A30" s="105"/>
      <c r="B30" s="105"/>
      <c r="C30" s="109"/>
      <c r="D30" s="160" t="s">
        <v>157</v>
      </c>
      <c r="E30" s="126"/>
      <c r="F30" s="127"/>
      <c r="G30" s="127"/>
      <c r="H30" s="105"/>
      <c r="I30" s="105"/>
      <c r="J30" s="105"/>
      <c r="K30" s="105"/>
      <c r="L30" s="105"/>
      <c r="M30" s="105"/>
      <c r="N30" s="105"/>
      <c r="O30" s="128"/>
      <c r="P30" s="105"/>
      <c r="Q30" s="105"/>
      <c r="R30" s="105"/>
      <c r="S30" s="129"/>
      <c r="T30" s="127"/>
      <c r="U30" s="127"/>
      <c r="V30" s="127"/>
      <c r="W30" s="127"/>
      <c r="X30" s="127"/>
      <c r="Y30" s="127"/>
      <c r="Z30" s="127"/>
      <c r="AA30" s="127"/>
      <c r="AB30" s="127"/>
      <c r="AC30" s="105"/>
      <c r="AD30" s="105"/>
      <c r="AE30" s="105"/>
      <c r="AF30" s="105"/>
      <c r="AG30" s="105"/>
      <c r="AH30" s="105"/>
      <c r="AI30" s="105"/>
      <c r="AJ30" s="105"/>
      <c r="AK30" s="110"/>
      <c r="AL30" s="105"/>
      <c r="AM30" s="105"/>
      <c r="AN30" s="105"/>
    </row>
    <row r="31" spans="1:40" ht="14.25" customHeight="1">
      <c r="A31" s="105"/>
      <c r="B31" s="105"/>
      <c r="C31" s="109"/>
      <c r="D31" s="160" t="s">
        <v>158</v>
      </c>
      <c r="E31" s="130"/>
      <c r="F31" s="130"/>
      <c r="G31" s="130"/>
      <c r="H31" s="124"/>
      <c r="I31" s="124"/>
      <c r="J31" s="124"/>
      <c r="K31" s="124"/>
      <c r="L31" s="124"/>
      <c r="M31" s="124"/>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3"/>
      <c r="AL31" s="124"/>
      <c r="AM31" s="105"/>
      <c r="AN31" s="105"/>
    </row>
    <row r="32" spans="1:40" ht="14.25" customHeight="1">
      <c r="A32" s="105"/>
      <c r="B32" s="105"/>
      <c r="C32" s="109"/>
      <c r="D32" s="125"/>
      <c r="E32" s="130"/>
      <c r="F32" s="130"/>
      <c r="G32" s="130"/>
      <c r="H32" s="124"/>
      <c r="I32" s="124"/>
      <c r="J32" s="124"/>
      <c r="K32" s="124"/>
      <c r="L32" s="124"/>
      <c r="M32" s="124"/>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3"/>
      <c r="AL32" s="124"/>
      <c r="AM32" s="105"/>
      <c r="AN32" s="105"/>
    </row>
    <row r="33" spans="1:40" ht="14.25" customHeight="1">
      <c r="A33" s="105"/>
      <c r="B33" s="105"/>
      <c r="C33" s="109"/>
      <c r="D33" s="681" t="s">
        <v>159</v>
      </c>
      <c r="E33" s="681"/>
      <c r="F33" s="681"/>
      <c r="G33" s="681"/>
      <c r="H33" s="681"/>
      <c r="I33" s="681"/>
      <c r="J33" s="681"/>
      <c r="K33" s="681"/>
      <c r="L33" s="681"/>
      <c r="M33" s="681"/>
      <c r="N33" s="681"/>
      <c r="O33" s="681"/>
      <c r="P33" s="681"/>
      <c r="Q33" s="681"/>
      <c r="R33" s="681"/>
      <c r="S33" s="681"/>
      <c r="T33" s="681"/>
      <c r="U33" s="681"/>
      <c r="V33" s="681"/>
      <c r="W33" s="681"/>
      <c r="X33" s="681"/>
      <c r="Y33" s="681"/>
      <c r="Z33" s="681"/>
      <c r="AA33" s="681"/>
      <c r="AB33" s="681"/>
      <c r="AC33" s="681"/>
      <c r="AD33" s="681"/>
      <c r="AE33" s="681"/>
      <c r="AF33" s="681"/>
      <c r="AG33" s="681"/>
      <c r="AH33" s="681"/>
      <c r="AI33" s="681"/>
      <c r="AJ33" s="681"/>
      <c r="AK33" s="123"/>
      <c r="AL33" s="124"/>
      <c r="AM33" s="105"/>
      <c r="AN33" s="105"/>
    </row>
    <row r="34" spans="1:40" ht="14.25" customHeight="1">
      <c r="A34" s="105"/>
      <c r="B34" s="105"/>
      <c r="C34" s="109"/>
      <c r="D34" s="681"/>
      <c r="E34" s="681"/>
      <c r="F34" s="681"/>
      <c r="G34" s="681"/>
      <c r="H34" s="681"/>
      <c r="I34" s="681"/>
      <c r="J34" s="681"/>
      <c r="K34" s="681"/>
      <c r="L34" s="681"/>
      <c r="M34" s="681"/>
      <c r="N34" s="681"/>
      <c r="O34" s="681"/>
      <c r="P34" s="681"/>
      <c r="Q34" s="681"/>
      <c r="R34" s="681"/>
      <c r="S34" s="681"/>
      <c r="T34" s="681"/>
      <c r="U34" s="681"/>
      <c r="V34" s="681"/>
      <c r="W34" s="681"/>
      <c r="X34" s="681"/>
      <c r="Y34" s="681"/>
      <c r="Z34" s="681"/>
      <c r="AA34" s="681"/>
      <c r="AB34" s="681"/>
      <c r="AC34" s="681"/>
      <c r="AD34" s="681"/>
      <c r="AE34" s="681"/>
      <c r="AF34" s="681"/>
      <c r="AG34" s="681"/>
      <c r="AH34" s="681"/>
      <c r="AI34" s="681"/>
      <c r="AJ34" s="681"/>
      <c r="AK34" s="123"/>
      <c r="AL34" s="124"/>
      <c r="AM34" s="105"/>
      <c r="AN34" s="105"/>
    </row>
    <row r="35" spans="1:40" ht="14.25" customHeight="1">
      <c r="A35" s="105"/>
      <c r="B35" s="105"/>
      <c r="C35" s="109"/>
      <c r="D35" s="681"/>
      <c r="E35" s="681"/>
      <c r="F35" s="681"/>
      <c r="G35" s="681"/>
      <c r="H35" s="681"/>
      <c r="I35" s="681"/>
      <c r="J35" s="681"/>
      <c r="K35" s="681"/>
      <c r="L35" s="681"/>
      <c r="M35" s="681"/>
      <c r="N35" s="681"/>
      <c r="O35" s="681"/>
      <c r="P35" s="681"/>
      <c r="Q35" s="681"/>
      <c r="R35" s="681"/>
      <c r="S35" s="681"/>
      <c r="T35" s="681"/>
      <c r="U35" s="681"/>
      <c r="V35" s="681"/>
      <c r="W35" s="681"/>
      <c r="X35" s="681"/>
      <c r="Y35" s="681"/>
      <c r="Z35" s="681"/>
      <c r="AA35" s="681"/>
      <c r="AB35" s="681"/>
      <c r="AC35" s="681"/>
      <c r="AD35" s="681"/>
      <c r="AE35" s="681"/>
      <c r="AF35" s="681"/>
      <c r="AG35" s="681"/>
      <c r="AH35" s="681"/>
      <c r="AI35" s="681"/>
      <c r="AJ35" s="681"/>
      <c r="AK35" s="123"/>
      <c r="AL35" s="124"/>
      <c r="AM35" s="105"/>
      <c r="AN35" s="105"/>
    </row>
    <row r="36" spans="1:40" ht="14.25" customHeight="1">
      <c r="A36" s="105"/>
      <c r="B36" s="105"/>
      <c r="C36" s="109"/>
      <c r="D36" s="681"/>
      <c r="E36" s="681"/>
      <c r="F36" s="681"/>
      <c r="G36" s="681"/>
      <c r="H36" s="681"/>
      <c r="I36" s="681"/>
      <c r="J36" s="681"/>
      <c r="K36" s="681"/>
      <c r="L36" s="681"/>
      <c r="M36" s="681"/>
      <c r="N36" s="681"/>
      <c r="O36" s="681"/>
      <c r="P36" s="681"/>
      <c r="Q36" s="681"/>
      <c r="R36" s="681"/>
      <c r="S36" s="681"/>
      <c r="T36" s="681"/>
      <c r="U36" s="681"/>
      <c r="V36" s="681"/>
      <c r="W36" s="681"/>
      <c r="X36" s="681"/>
      <c r="Y36" s="681"/>
      <c r="Z36" s="681"/>
      <c r="AA36" s="681"/>
      <c r="AB36" s="681"/>
      <c r="AC36" s="681"/>
      <c r="AD36" s="681"/>
      <c r="AE36" s="681"/>
      <c r="AF36" s="681"/>
      <c r="AG36" s="681"/>
      <c r="AH36" s="681"/>
      <c r="AI36" s="681"/>
      <c r="AJ36" s="681"/>
      <c r="AK36" s="123"/>
      <c r="AL36" s="124"/>
      <c r="AM36" s="105"/>
      <c r="AN36" s="105"/>
    </row>
    <row r="37" spans="1:40" ht="6" customHeight="1">
      <c r="A37" s="105"/>
      <c r="B37" s="105"/>
      <c r="C37" s="109"/>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61"/>
      <c r="AB37" s="161"/>
      <c r="AC37" s="161"/>
      <c r="AD37" s="161"/>
      <c r="AE37" s="161"/>
      <c r="AF37" s="161"/>
      <c r="AG37" s="161"/>
      <c r="AH37" s="161"/>
      <c r="AI37" s="161"/>
      <c r="AJ37" s="161"/>
      <c r="AK37" s="123"/>
      <c r="AL37" s="124"/>
      <c r="AM37" s="105"/>
      <c r="AN37" s="105"/>
    </row>
    <row r="38" spans="1:40" ht="14.25" customHeight="1">
      <c r="A38" s="105"/>
      <c r="B38" s="105"/>
      <c r="C38" s="109"/>
      <c r="D38" s="678" t="s">
        <v>160</v>
      </c>
      <c r="E38" s="678"/>
      <c r="F38" s="678"/>
      <c r="G38" s="678"/>
      <c r="H38" s="679" t="s">
        <v>161</v>
      </c>
      <c r="I38" s="679"/>
      <c r="J38" s="679"/>
      <c r="K38" s="679"/>
      <c r="L38" s="679"/>
      <c r="M38" s="679"/>
      <c r="N38" s="679"/>
      <c r="O38" s="679"/>
      <c r="P38" s="679"/>
      <c r="Q38" s="679"/>
      <c r="R38" s="679"/>
      <c r="S38" s="679"/>
      <c r="T38" s="679"/>
      <c r="U38" s="679"/>
      <c r="V38" s="679" t="s">
        <v>162</v>
      </c>
      <c r="W38" s="679"/>
      <c r="X38" s="679"/>
      <c r="Y38" s="679"/>
      <c r="Z38" s="679"/>
      <c r="AA38" s="679"/>
      <c r="AB38" s="679" t="s">
        <v>163</v>
      </c>
      <c r="AC38" s="679"/>
      <c r="AD38" s="679"/>
      <c r="AE38" s="679"/>
      <c r="AF38" s="679"/>
      <c r="AG38" s="679"/>
      <c r="AH38" s="679"/>
      <c r="AI38" s="679"/>
      <c r="AJ38" s="679"/>
      <c r="AK38" s="123"/>
      <c r="AL38" s="124"/>
      <c r="AM38" s="105"/>
      <c r="AN38" s="105"/>
    </row>
    <row r="39" spans="1:40" ht="14.25" customHeight="1">
      <c r="A39" s="105"/>
      <c r="B39" s="105"/>
      <c r="C39" s="109"/>
      <c r="D39" s="678"/>
      <c r="E39" s="678"/>
      <c r="F39" s="678"/>
      <c r="G39" s="678"/>
      <c r="H39" s="472" t="s">
        <v>164</v>
      </c>
      <c r="I39" s="473"/>
      <c r="J39" s="473"/>
      <c r="K39" s="473"/>
      <c r="L39" s="473"/>
      <c r="M39" s="473"/>
      <c r="N39" s="473"/>
      <c r="O39" s="473"/>
      <c r="P39" s="473"/>
      <c r="Q39" s="473"/>
      <c r="R39" s="473"/>
      <c r="S39" s="473"/>
      <c r="T39" s="473"/>
      <c r="U39" s="473"/>
      <c r="V39" s="473"/>
      <c r="W39" s="473"/>
      <c r="X39" s="473"/>
      <c r="Y39" s="473"/>
      <c r="Z39" s="473"/>
      <c r="AA39" s="473"/>
      <c r="AB39" s="473"/>
      <c r="AC39" s="473"/>
      <c r="AD39" s="473"/>
      <c r="AE39" s="473"/>
      <c r="AF39" s="473"/>
      <c r="AG39" s="473"/>
      <c r="AH39" s="473"/>
      <c r="AI39" s="473"/>
      <c r="AJ39" s="474"/>
      <c r="AK39" s="123"/>
      <c r="AL39" s="124"/>
      <c r="AM39" s="105"/>
      <c r="AN39" s="105"/>
    </row>
    <row r="40" spans="1:40" ht="14.25" customHeight="1">
      <c r="A40" s="105"/>
      <c r="B40" s="105"/>
      <c r="C40" s="109"/>
      <c r="D40" s="678"/>
      <c r="E40" s="678"/>
      <c r="F40" s="678"/>
      <c r="G40" s="678"/>
      <c r="H40" s="680"/>
      <c r="I40" s="476"/>
      <c r="J40" s="476"/>
      <c r="K40" s="476"/>
      <c r="L40" s="476"/>
      <c r="M40" s="476"/>
      <c r="N40" s="476"/>
      <c r="O40" s="476"/>
      <c r="P40" s="476"/>
      <c r="Q40" s="476"/>
      <c r="R40" s="476"/>
      <c r="S40" s="476"/>
      <c r="T40" s="476"/>
      <c r="U40" s="476"/>
      <c r="V40" s="476"/>
      <c r="W40" s="476"/>
      <c r="X40" s="476"/>
      <c r="Y40" s="476"/>
      <c r="Z40" s="476"/>
      <c r="AA40" s="476"/>
      <c r="AB40" s="476"/>
      <c r="AC40" s="476"/>
      <c r="AD40" s="476"/>
      <c r="AE40" s="476"/>
      <c r="AF40" s="476"/>
      <c r="AG40" s="476"/>
      <c r="AH40" s="476"/>
      <c r="AI40" s="476"/>
      <c r="AJ40" s="477"/>
      <c r="AK40" s="123"/>
      <c r="AL40" s="124"/>
      <c r="AM40" s="105"/>
      <c r="AN40" s="105"/>
    </row>
    <row r="41" spans="1:40" ht="14.25" customHeight="1">
      <c r="A41" s="105"/>
      <c r="B41" s="105"/>
      <c r="C41" s="109"/>
      <c r="D41" s="678"/>
      <c r="E41" s="678"/>
      <c r="F41" s="678"/>
      <c r="G41" s="678"/>
      <c r="H41" s="478"/>
      <c r="I41" s="479"/>
      <c r="J41" s="479"/>
      <c r="K41" s="479"/>
      <c r="L41" s="479"/>
      <c r="M41" s="479"/>
      <c r="N41" s="479"/>
      <c r="O41" s="479"/>
      <c r="P41" s="479"/>
      <c r="Q41" s="479"/>
      <c r="R41" s="479"/>
      <c r="S41" s="479"/>
      <c r="T41" s="479"/>
      <c r="U41" s="479"/>
      <c r="V41" s="479"/>
      <c r="W41" s="479"/>
      <c r="X41" s="479"/>
      <c r="Y41" s="479"/>
      <c r="Z41" s="479"/>
      <c r="AA41" s="479"/>
      <c r="AB41" s="479"/>
      <c r="AC41" s="479"/>
      <c r="AD41" s="479"/>
      <c r="AE41" s="479"/>
      <c r="AF41" s="479"/>
      <c r="AG41" s="479"/>
      <c r="AH41" s="479"/>
      <c r="AI41" s="479"/>
      <c r="AJ41" s="480"/>
      <c r="AK41" s="123"/>
      <c r="AL41" s="124"/>
      <c r="AM41" s="105"/>
      <c r="AN41" s="105"/>
    </row>
    <row r="42" spans="1:40" ht="14.25" customHeight="1">
      <c r="A42" s="105"/>
      <c r="B42" s="105"/>
      <c r="C42" s="109"/>
      <c r="D42" s="678" t="s">
        <v>165</v>
      </c>
      <c r="E42" s="678"/>
      <c r="F42" s="678"/>
      <c r="G42" s="678"/>
      <c r="H42" s="679" t="s">
        <v>161</v>
      </c>
      <c r="I42" s="679"/>
      <c r="J42" s="679"/>
      <c r="K42" s="679"/>
      <c r="L42" s="679"/>
      <c r="M42" s="679"/>
      <c r="N42" s="679"/>
      <c r="O42" s="679"/>
      <c r="P42" s="679"/>
      <c r="Q42" s="679"/>
      <c r="R42" s="679"/>
      <c r="S42" s="679"/>
      <c r="T42" s="679"/>
      <c r="U42" s="679"/>
      <c r="V42" s="679" t="s">
        <v>162</v>
      </c>
      <c r="W42" s="679"/>
      <c r="X42" s="679"/>
      <c r="Y42" s="679"/>
      <c r="Z42" s="679"/>
      <c r="AA42" s="679"/>
      <c r="AB42" s="679" t="s">
        <v>163</v>
      </c>
      <c r="AC42" s="679"/>
      <c r="AD42" s="679"/>
      <c r="AE42" s="679"/>
      <c r="AF42" s="679"/>
      <c r="AG42" s="679"/>
      <c r="AH42" s="679"/>
      <c r="AI42" s="679"/>
      <c r="AJ42" s="679"/>
      <c r="AK42" s="123"/>
      <c r="AL42" s="124"/>
      <c r="AM42" s="105"/>
      <c r="AN42" s="105"/>
    </row>
    <row r="43" spans="1:40" ht="14.25" customHeight="1">
      <c r="A43" s="105"/>
      <c r="B43" s="105"/>
      <c r="C43" s="109"/>
      <c r="D43" s="678"/>
      <c r="E43" s="678"/>
      <c r="F43" s="678"/>
      <c r="G43" s="678"/>
      <c r="H43" s="472" t="s">
        <v>166</v>
      </c>
      <c r="I43" s="473"/>
      <c r="J43" s="473"/>
      <c r="K43" s="473"/>
      <c r="L43" s="473"/>
      <c r="M43" s="473"/>
      <c r="N43" s="473"/>
      <c r="O43" s="473"/>
      <c r="P43" s="473"/>
      <c r="Q43" s="473"/>
      <c r="R43" s="473"/>
      <c r="S43" s="473"/>
      <c r="T43" s="473"/>
      <c r="U43" s="473"/>
      <c r="V43" s="473"/>
      <c r="W43" s="473"/>
      <c r="X43" s="473"/>
      <c r="Y43" s="473"/>
      <c r="Z43" s="473"/>
      <c r="AA43" s="473"/>
      <c r="AB43" s="473"/>
      <c r="AC43" s="473"/>
      <c r="AD43" s="473"/>
      <c r="AE43" s="473"/>
      <c r="AF43" s="473"/>
      <c r="AG43" s="473"/>
      <c r="AH43" s="473"/>
      <c r="AI43" s="473"/>
      <c r="AJ43" s="474"/>
      <c r="AK43" s="123"/>
      <c r="AL43" s="124"/>
      <c r="AM43" s="105"/>
      <c r="AN43" s="105"/>
    </row>
    <row r="44" spans="1:40" ht="14.25" customHeight="1">
      <c r="A44" s="105"/>
      <c r="B44" s="105"/>
      <c r="C44" s="109"/>
      <c r="D44" s="678"/>
      <c r="E44" s="678"/>
      <c r="F44" s="678"/>
      <c r="G44" s="678"/>
      <c r="H44" s="680"/>
      <c r="I44" s="476"/>
      <c r="J44" s="476"/>
      <c r="K44" s="476"/>
      <c r="L44" s="476"/>
      <c r="M44" s="476"/>
      <c r="N44" s="476"/>
      <c r="O44" s="476"/>
      <c r="P44" s="476"/>
      <c r="Q44" s="476"/>
      <c r="R44" s="476"/>
      <c r="S44" s="476"/>
      <c r="T44" s="476"/>
      <c r="U44" s="476"/>
      <c r="V44" s="476"/>
      <c r="W44" s="476"/>
      <c r="X44" s="476"/>
      <c r="Y44" s="476"/>
      <c r="Z44" s="476"/>
      <c r="AA44" s="476"/>
      <c r="AB44" s="476"/>
      <c r="AC44" s="476"/>
      <c r="AD44" s="476"/>
      <c r="AE44" s="476"/>
      <c r="AF44" s="476"/>
      <c r="AG44" s="476"/>
      <c r="AH44" s="476"/>
      <c r="AI44" s="476"/>
      <c r="AJ44" s="477"/>
      <c r="AK44" s="123"/>
      <c r="AL44" s="124"/>
      <c r="AM44" s="105"/>
      <c r="AN44" s="105"/>
    </row>
    <row r="45" spans="1:40" ht="14.25" customHeight="1">
      <c r="A45" s="105"/>
      <c r="B45" s="105"/>
      <c r="C45" s="109"/>
      <c r="D45" s="678"/>
      <c r="E45" s="678"/>
      <c r="F45" s="678"/>
      <c r="G45" s="678"/>
      <c r="H45" s="478"/>
      <c r="I45" s="479"/>
      <c r="J45" s="479"/>
      <c r="K45" s="479"/>
      <c r="L45" s="479"/>
      <c r="M45" s="479"/>
      <c r="N45" s="479"/>
      <c r="O45" s="479"/>
      <c r="P45" s="479"/>
      <c r="Q45" s="479"/>
      <c r="R45" s="479"/>
      <c r="S45" s="479"/>
      <c r="T45" s="479"/>
      <c r="U45" s="479"/>
      <c r="V45" s="479"/>
      <c r="W45" s="479"/>
      <c r="X45" s="479"/>
      <c r="Y45" s="479"/>
      <c r="Z45" s="479"/>
      <c r="AA45" s="479"/>
      <c r="AB45" s="479"/>
      <c r="AC45" s="479"/>
      <c r="AD45" s="479"/>
      <c r="AE45" s="479"/>
      <c r="AF45" s="479"/>
      <c r="AG45" s="479"/>
      <c r="AH45" s="479"/>
      <c r="AI45" s="479"/>
      <c r="AJ45" s="480"/>
      <c r="AK45" s="123"/>
      <c r="AL45" s="124"/>
      <c r="AM45" s="105"/>
      <c r="AN45" s="105"/>
    </row>
    <row r="46" spans="1:40" ht="14.25" customHeight="1">
      <c r="A46" s="105"/>
      <c r="B46" s="105"/>
      <c r="C46" s="109"/>
      <c r="D46" s="162"/>
      <c r="E46" s="162"/>
      <c r="F46" s="162"/>
      <c r="G46" s="162"/>
      <c r="H46" s="163"/>
      <c r="I46" s="163"/>
      <c r="J46" s="163"/>
      <c r="K46" s="163"/>
      <c r="L46" s="163"/>
      <c r="M46" s="163"/>
      <c r="N46" s="163"/>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23"/>
      <c r="AL46" s="124"/>
      <c r="AM46" s="105"/>
      <c r="AN46" s="105"/>
    </row>
    <row r="47" spans="1:40" ht="14.25" customHeight="1">
      <c r="A47" s="105"/>
      <c r="B47" s="105"/>
      <c r="C47" s="109"/>
      <c r="D47" s="134" t="s">
        <v>138</v>
      </c>
      <c r="E47" s="135"/>
      <c r="F47" s="136"/>
      <c r="G47" s="136"/>
      <c r="H47" s="137"/>
      <c r="I47" s="137"/>
      <c r="J47" s="137"/>
      <c r="K47" s="137"/>
      <c r="L47" s="137"/>
      <c r="M47" s="137"/>
      <c r="N47" s="137"/>
      <c r="O47" s="138"/>
      <c r="P47" s="137"/>
      <c r="Q47" s="137"/>
      <c r="R47" s="137"/>
      <c r="S47" s="135"/>
      <c r="T47" s="136"/>
      <c r="U47" s="136"/>
      <c r="V47" s="136"/>
      <c r="W47" s="136"/>
      <c r="X47" s="136"/>
      <c r="Y47" s="136"/>
      <c r="Z47" s="136"/>
      <c r="AA47" s="136"/>
      <c r="AB47" s="136"/>
      <c r="AC47" s="137"/>
      <c r="AD47" s="137"/>
      <c r="AE47" s="137"/>
      <c r="AF47" s="137"/>
      <c r="AG47" s="137"/>
      <c r="AH47" s="137"/>
      <c r="AI47" s="137"/>
      <c r="AJ47" s="137"/>
      <c r="AK47" s="110"/>
      <c r="AL47" s="105"/>
      <c r="AM47" s="105"/>
      <c r="AN47" s="105"/>
    </row>
    <row r="48" spans="1:40" ht="14.25" customHeight="1">
      <c r="A48" s="105"/>
      <c r="B48" s="105"/>
      <c r="C48" s="109"/>
      <c r="D48" s="511" t="s">
        <v>139</v>
      </c>
      <c r="E48" s="511"/>
      <c r="F48" s="511"/>
      <c r="G48" s="511"/>
      <c r="H48" s="512" t="s">
        <v>167</v>
      </c>
      <c r="I48" s="513"/>
      <c r="J48" s="513"/>
      <c r="K48" s="513"/>
      <c r="L48" s="513"/>
      <c r="M48" s="513"/>
      <c r="N48" s="513"/>
      <c r="O48" s="513"/>
      <c r="P48" s="513"/>
      <c r="Q48" s="513"/>
      <c r="R48" s="513"/>
      <c r="S48" s="513"/>
      <c r="T48" s="513"/>
      <c r="U48" s="513"/>
      <c r="V48" s="513"/>
      <c r="W48" s="514"/>
      <c r="X48" s="521" t="s">
        <v>140</v>
      </c>
      <c r="Y48" s="522"/>
      <c r="Z48" s="522"/>
      <c r="AA48" s="522"/>
      <c r="AB48" s="522"/>
      <c r="AC48" s="523"/>
      <c r="AD48" s="453"/>
      <c r="AE48" s="454"/>
      <c r="AF48" s="454"/>
      <c r="AG48" s="454"/>
      <c r="AH48" s="454"/>
      <c r="AI48" s="454"/>
      <c r="AJ48" s="455"/>
      <c r="AK48" s="110"/>
      <c r="AL48" s="105"/>
      <c r="AM48" s="105"/>
      <c r="AN48" s="105"/>
    </row>
    <row r="49" spans="1:40" ht="14.25" customHeight="1">
      <c r="A49" s="105"/>
      <c r="B49" s="105"/>
      <c r="C49" s="109"/>
      <c r="D49" s="511"/>
      <c r="E49" s="511"/>
      <c r="F49" s="511"/>
      <c r="G49" s="511"/>
      <c r="H49" s="515"/>
      <c r="I49" s="516"/>
      <c r="J49" s="516"/>
      <c r="K49" s="516"/>
      <c r="L49" s="516"/>
      <c r="M49" s="516"/>
      <c r="N49" s="516"/>
      <c r="O49" s="516"/>
      <c r="P49" s="516"/>
      <c r="Q49" s="516"/>
      <c r="R49" s="516"/>
      <c r="S49" s="516"/>
      <c r="T49" s="516"/>
      <c r="U49" s="516"/>
      <c r="V49" s="516"/>
      <c r="W49" s="517"/>
      <c r="X49" s="524"/>
      <c r="Y49" s="525"/>
      <c r="Z49" s="525"/>
      <c r="AA49" s="525"/>
      <c r="AB49" s="525"/>
      <c r="AC49" s="526"/>
      <c r="AD49" s="456"/>
      <c r="AE49" s="457"/>
      <c r="AF49" s="457"/>
      <c r="AG49" s="457"/>
      <c r="AH49" s="457"/>
      <c r="AI49" s="457"/>
      <c r="AJ49" s="458"/>
      <c r="AK49" s="110"/>
      <c r="AL49" s="105"/>
      <c r="AM49" s="105"/>
      <c r="AN49" s="105"/>
    </row>
    <row r="50" spans="1:40" ht="14.25" customHeight="1">
      <c r="A50" s="105"/>
      <c r="B50" s="105"/>
      <c r="C50" s="109"/>
      <c r="D50" s="511"/>
      <c r="E50" s="511"/>
      <c r="F50" s="511"/>
      <c r="G50" s="511"/>
      <c r="H50" s="518"/>
      <c r="I50" s="519"/>
      <c r="J50" s="519"/>
      <c r="K50" s="519"/>
      <c r="L50" s="519"/>
      <c r="M50" s="519"/>
      <c r="N50" s="519"/>
      <c r="O50" s="519"/>
      <c r="P50" s="519"/>
      <c r="Q50" s="519"/>
      <c r="R50" s="519"/>
      <c r="S50" s="519"/>
      <c r="T50" s="519"/>
      <c r="U50" s="519"/>
      <c r="V50" s="519"/>
      <c r="W50" s="520"/>
      <c r="X50" s="527"/>
      <c r="Y50" s="528"/>
      <c r="Z50" s="528"/>
      <c r="AA50" s="528"/>
      <c r="AB50" s="528"/>
      <c r="AC50" s="529"/>
      <c r="AD50" s="459"/>
      <c r="AE50" s="460"/>
      <c r="AF50" s="460"/>
      <c r="AG50" s="460"/>
      <c r="AH50" s="460"/>
      <c r="AI50" s="460"/>
      <c r="AJ50" s="461"/>
      <c r="AK50" s="110"/>
      <c r="AL50" s="105"/>
      <c r="AM50" s="105"/>
      <c r="AN50" s="105"/>
    </row>
    <row r="51" spans="1:40" ht="14.25" customHeight="1">
      <c r="A51" s="105"/>
      <c r="B51" s="105"/>
      <c r="C51" s="109"/>
      <c r="D51" s="511" t="s">
        <v>127</v>
      </c>
      <c r="E51" s="511"/>
      <c r="F51" s="511"/>
      <c r="G51" s="511"/>
      <c r="H51" s="453"/>
      <c r="I51" s="454"/>
      <c r="J51" s="454"/>
      <c r="K51" s="454"/>
      <c r="L51" s="454"/>
      <c r="M51" s="454"/>
      <c r="N51" s="454"/>
      <c r="O51" s="454"/>
      <c r="P51" s="454"/>
      <c r="Q51" s="454"/>
      <c r="R51" s="454"/>
      <c r="S51" s="454"/>
      <c r="T51" s="454"/>
      <c r="U51" s="454"/>
      <c r="V51" s="454"/>
      <c r="W51" s="454"/>
      <c r="X51" s="454"/>
      <c r="Y51" s="454"/>
      <c r="Z51" s="454"/>
      <c r="AA51" s="454"/>
      <c r="AB51" s="454"/>
      <c r="AC51" s="454"/>
      <c r="AD51" s="454"/>
      <c r="AE51" s="454"/>
      <c r="AF51" s="454"/>
      <c r="AG51" s="454"/>
      <c r="AH51" s="454"/>
      <c r="AI51" s="454"/>
      <c r="AJ51" s="455"/>
      <c r="AK51" s="122"/>
      <c r="AL51" s="117"/>
      <c r="AM51" s="105"/>
      <c r="AN51" s="105"/>
    </row>
    <row r="52" spans="1:40" ht="14.25" customHeight="1">
      <c r="A52" s="105"/>
      <c r="B52" s="105"/>
      <c r="C52" s="109"/>
      <c r="D52" s="511"/>
      <c r="E52" s="511"/>
      <c r="F52" s="511"/>
      <c r="G52" s="511"/>
      <c r="H52" s="456"/>
      <c r="I52" s="457"/>
      <c r="J52" s="457"/>
      <c r="K52" s="457"/>
      <c r="L52" s="457"/>
      <c r="M52" s="457"/>
      <c r="N52" s="457"/>
      <c r="O52" s="457"/>
      <c r="P52" s="457"/>
      <c r="Q52" s="457"/>
      <c r="R52" s="457"/>
      <c r="S52" s="457"/>
      <c r="T52" s="457"/>
      <c r="U52" s="457"/>
      <c r="V52" s="457"/>
      <c r="W52" s="457"/>
      <c r="X52" s="457"/>
      <c r="Y52" s="457"/>
      <c r="Z52" s="457"/>
      <c r="AA52" s="457"/>
      <c r="AB52" s="457"/>
      <c r="AC52" s="457"/>
      <c r="AD52" s="457"/>
      <c r="AE52" s="457"/>
      <c r="AF52" s="457"/>
      <c r="AG52" s="457"/>
      <c r="AH52" s="457"/>
      <c r="AI52" s="457"/>
      <c r="AJ52" s="458"/>
      <c r="AK52" s="122"/>
      <c r="AL52" s="117"/>
      <c r="AM52" s="105"/>
      <c r="AN52" s="105"/>
    </row>
    <row r="53" spans="1:40" ht="14.25" customHeight="1">
      <c r="A53" s="105"/>
      <c r="B53" s="105"/>
      <c r="C53" s="109"/>
      <c r="D53" s="511"/>
      <c r="E53" s="511"/>
      <c r="F53" s="511"/>
      <c r="G53" s="511"/>
      <c r="H53" s="459"/>
      <c r="I53" s="460"/>
      <c r="J53" s="460"/>
      <c r="K53" s="460"/>
      <c r="L53" s="460"/>
      <c r="M53" s="460"/>
      <c r="N53" s="460"/>
      <c r="O53" s="460"/>
      <c r="P53" s="460"/>
      <c r="Q53" s="460"/>
      <c r="R53" s="460"/>
      <c r="S53" s="460"/>
      <c r="T53" s="460"/>
      <c r="U53" s="460"/>
      <c r="V53" s="460"/>
      <c r="W53" s="460"/>
      <c r="X53" s="460"/>
      <c r="Y53" s="460"/>
      <c r="Z53" s="460"/>
      <c r="AA53" s="460"/>
      <c r="AB53" s="460"/>
      <c r="AC53" s="460"/>
      <c r="AD53" s="460"/>
      <c r="AE53" s="460"/>
      <c r="AF53" s="460"/>
      <c r="AG53" s="460"/>
      <c r="AH53" s="460"/>
      <c r="AI53" s="460"/>
      <c r="AJ53" s="461"/>
      <c r="AK53" s="122"/>
      <c r="AL53" s="117"/>
      <c r="AM53" s="105"/>
      <c r="AN53" s="105"/>
    </row>
    <row r="54" spans="1:40" ht="14.25" customHeight="1">
      <c r="A54" s="105"/>
      <c r="B54" s="105"/>
      <c r="C54" s="109"/>
      <c r="D54" s="462" t="s">
        <v>128</v>
      </c>
      <c r="E54" s="463"/>
      <c r="F54" s="463"/>
      <c r="G54" s="464"/>
      <c r="H54" s="484"/>
      <c r="I54" s="485"/>
      <c r="J54" s="485"/>
      <c r="K54" s="485"/>
      <c r="L54" s="485"/>
      <c r="M54" s="485"/>
      <c r="N54" s="485"/>
      <c r="O54" s="485"/>
      <c r="P54" s="485"/>
      <c r="Q54" s="485"/>
      <c r="R54" s="485"/>
      <c r="S54" s="485"/>
      <c r="T54" s="485"/>
      <c r="U54" s="485"/>
      <c r="V54" s="485"/>
      <c r="W54" s="485"/>
      <c r="X54" s="485"/>
      <c r="Y54" s="485"/>
      <c r="Z54" s="485"/>
      <c r="AA54" s="485"/>
      <c r="AB54" s="485"/>
      <c r="AC54" s="485"/>
      <c r="AD54" s="485"/>
      <c r="AE54" s="485"/>
      <c r="AF54" s="485"/>
      <c r="AG54" s="485"/>
      <c r="AH54" s="485"/>
      <c r="AI54" s="485"/>
      <c r="AJ54" s="486"/>
      <c r="AK54" s="123"/>
      <c r="AL54" s="124"/>
      <c r="AM54" s="105"/>
      <c r="AN54" s="105"/>
    </row>
    <row r="55" spans="1:40" ht="14.25" customHeight="1">
      <c r="A55" s="105"/>
      <c r="B55" s="105"/>
      <c r="C55" s="109"/>
      <c r="D55" s="468"/>
      <c r="E55" s="469"/>
      <c r="F55" s="469"/>
      <c r="G55" s="470"/>
      <c r="H55" s="490"/>
      <c r="I55" s="491"/>
      <c r="J55" s="491"/>
      <c r="K55" s="491"/>
      <c r="L55" s="491"/>
      <c r="M55" s="491"/>
      <c r="N55" s="491"/>
      <c r="O55" s="491"/>
      <c r="P55" s="491"/>
      <c r="Q55" s="491"/>
      <c r="R55" s="491"/>
      <c r="S55" s="491"/>
      <c r="T55" s="491"/>
      <c r="U55" s="491"/>
      <c r="V55" s="491"/>
      <c r="W55" s="491"/>
      <c r="X55" s="491"/>
      <c r="Y55" s="491"/>
      <c r="Z55" s="491"/>
      <c r="AA55" s="491"/>
      <c r="AB55" s="491"/>
      <c r="AC55" s="491"/>
      <c r="AD55" s="491"/>
      <c r="AE55" s="491"/>
      <c r="AF55" s="491"/>
      <c r="AG55" s="491"/>
      <c r="AH55" s="491"/>
      <c r="AI55" s="491"/>
      <c r="AJ55" s="492"/>
      <c r="AK55" s="123"/>
      <c r="AL55" s="124"/>
      <c r="AM55" s="105"/>
      <c r="AN55" s="105"/>
    </row>
    <row r="56" spans="1:40" ht="14.25" customHeight="1">
      <c r="A56" s="105"/>
      <c r="B56" s="105"/>
      <c r="C56" s="109"/>
      <c r="D56" s="139"/>
      <c r="E56" s="139"/>
      <c r="F56" s="139"/>
      <c r="G56" s="139"/>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0"/>
      <c r="AG56" s="140"/>
      <c r="AH56" s="140"/>
      <c r="AI56" s="140"/>
      <c r="AJ56" s="140"/>
      <c r="AK56" s="123"/>
      <c r="AL56" s="124"/>
      <c r="AM56" s="105"/>
      <c r="AN56" s="105"/>
    </row>
    <row r="57" spans="1:40" ht="6" customHeight="1">
      <c r="A57" s="105"/>
      <c r="B57" s="105"/>
      <c r="C57" s="109"/>
      <c r="D57" s="130"/>
      <c r="E57" s="130"/>
      <c r="F57" s="130"/>
      <c r="G57" s="130"/>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3"/>
      <c r="AL57" s="124"/>
      <c r="AM57" s="105"/>
      <c r="AN57" s="105"/>
    </row>
    <row r="58" spans="1:40" ht="14.25" customHeight="1">
      <c r="A58" s="105"/>
      <c r="B58" s="105"/>
      <c r="C58" s="109"/>
      <c r="D58" s="141" t="s">
        <v>129</v>
      </c>
      <c r="E58" s="126" t="s">
        <v>141</v>
      </c>
      <c r="F58" s="130"/>
      <c r="G58" s="130"/>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3"/>
      <c r="AL58" s="124"/>
      <c r="AM58" s="105"/>
      <c r="AN58" s="105"/>
    </row>
    <row r="59" spans="1:40" ht="14.25" customHeight="1">
      <c r="A59" s="105"/>
      <c r="B59" s="105"/>
      <c r="C59" s="109"/>
      <c r="D59" s="493" t="s">
        <v>142</v>
      </c>
      <c r="E59" s="494"/>
      <c r="F59" s="494"/>
      <c r="G59" s="494"/>
      <c r="H59" s="494"/>
      <c r="I59" s="494"/>
      <c r="J59" s="494"/>
      <c r="K59" s="494"/>
      <c r="L59" s="494"/>
      <c r="M59" s="494"/>
      <c r="N59" s="494"/>
      <c r="O59" s="494"/>
      <c r="P59" s="494"/>
      <c r="Q59" s="494"/>
      <c r="R59" s="494"/>
      <c r="S59" s="494"/>
      <c r="T59" s="494"/>
      <c r="U59" s="494"/>
      <c r="V59" s="495"/>
      <c r="W59" s="496" t="s">
        <v>143</v>
      </c>
      <c r="X59" s="497"/>
      <c r="Y59" s="497"/>
      <c r="Z59" s="497"/>
      <c r="AA59" s="497"/>
      <c r="AB59" s="497"/>
      <c r="AC59" s="497"/>
      <c r="AD59" s="497"/>
      <c r="AE59" s="497"/>
      <c r="AF59" s="497"/>
      <c r="AG59" s="497"/>
      <c r="AH59" s="497"/>
      <c r="AI59" s="497"/>
      <c r="AJ59" s="498"/>
      <c r="AK59" s="123"/>
      <c r="AL59" s="124"/>
      <c r="AM59" s="105"/>
      <c r="AN59" s="105"/>
    </row>
    <row r="60" spans="1:40" ht="14.25" customHeight="1">
      <c r="A60" s="105"/>
      <c r="B60" s="105"/>
      <c r="C60" s="109"/>
      <c r="D60" s="499"/>
      <c r="E60" s="500"/>
      <c r="F60" s="500"/>
      <c r="G60" s="500"/>
      <c r="H60" s="500"/>
      <c r="I60" s="500"/>
      <c r="J60" s="500"/>
      <c r="K60" s="500"/>
      <c r="L60" s="500"/>
      <c r="M60" s="500"/>
      <c r="N60" s="500"/>
      <c r="O60" s="500"/>
      <c r="P60" s="500"/>
      <c r="Q60" s="500"/>
      <c r="R60" s="500"/>
      <c r="S60" s="500"/>
      <c r="T60" s="500"/>
      <c r="U60" s="500"/>
      <c r="V60" s="501"/>
      <c r="W60" s="505" t="s">
        <v>121</v>
      </c>
      <c r="X60" s="506"/>
      <c r="Y60" s="506"/>
      <c r="Z60" s="506"/>
      <c r="AA60" s="506"/>
      <c r="AB60" s="506"/>
      <c r="AC60" s="506"/>
      <c r="AD60" s="506"/>
      <c r="AE60" s="506"/>
      <c r="AF60" s="506"/>
      <c r="AG60" s="506"/>
      <c r="AH60" s="506"/>
      <c r="AI60" s="506"/>
      <c r="AJ60" s="507"/>
      <c r="AK60" s="123"/>
      <c r="AL60" s="124"/>
      <c r="AM60" s="105"/>
      <c r="AN60" s="105"/>
    </row>
    <row r="61" spans="1:40" ht="14.25" customHeight="1">
      <c r="A61" s="105"/>
      <c r="B61" s="105"/>
      <c r="C61" s="109"/>
      <c r="D61" s="502"/>
      <c r="E61" s="503"/>
      <c r="F61" s="503"/>
      <c r="G61" s="503"/>
      <c r="H61" s="503"/>
      <c r="I61" s="503"/>
      <c r="J61" s="503"/>
      <c r="K61" s="503"/>
      <c r="L61" s="503"/>
      <c r="M61" s="503"/>
      <c r="N61" s="503"/>
      <c r="O61" s="503"/>
      <c r="P61" s="503"/>
      <c r="Q61" s="503"/>
      <c r="R61" s="503"/>
      <c r="S61" s="503"/>
      <c r="T61" s="503"/>
      <c r="U61" s="503"/>
      <c r="V61" s="504"/>
      <c r="W61" s="508"/>
      <c r="X61" s="509"/>
      <c r="Y61" s="509"/>
      <c r="Z61" s="509"/>
      <c r="AA61" s="509"/>
      <c r="AB61" s="509"/>
      <c r="AC61" s="509"/>
      <c r="AD61" s="509"/>
      <c r="AE61" s="509"/>
      <c r="AF61" s="509"/>
      <c r="AG61" s="509"/>
      <c r="AH61" s="509"/>
      <c r="AI61" s="509"/>
      <c r="AJ61" s="510"/>
      <c r="AK61" s="123"/>
      <c r="AL61" s="124"/>
      <c r="AM61" s="105"/>
      <c r="AN61" s="105"/>
    </row>
    <row r="62" spans="1:40" ht="9" customHeight="1">
      <c r="A62" s="105"/>
      <c r="B62" s="105"/>
      <c r="C62" s="109"/>
      <c r="D62" s="481"/>
      <c r="E62" s="482"/>
      <c r="F62" s="482"/>
      <c r="G62" s="482"/>
      <c r="H62" s="482"/>
      <c r="I62" s="482"/>
      <c r="J62" s="482"/>
      <c r="K62" s="482"/>
      <c r="L62" s="482"/>
      <c r="M62" s="482"/>
      <c r="N62" s="482"/>
      <c r="O62" s="482"/>
      <c r="P62" s="482"/>
      <c r="Q62" s="482"/>
      <c r="R62" s="482"/>
      <c r="S62" s="482"/>
      <c r="T62" s="482"/>
      <c r="U62" s="482"/>
      <c r="V62" s="482"/>
      <c r="W62" s="482"/>
      <c r="X62" s="482"/>
      <c r="Y62" s="482"/>
      <c r="Z62" s="482"/>
      <c r="AA62" s="482"/>
      <c r="AB62" s="482"/>
      <c r="AC62" s="482"/>
      <c r="AD62" s="482"/>
      <c r="AE62" s="482"/>
      <c r="AF62" s="482"/>
      <c r="AG62" s="482"/>
      <c r="AH62" s="482"/>
      <c r="AI62" s="482"/>
      <c r="AJ62" s="482"/>
      <c r="AK62" s="142"/>
      <c r="AL62" s="143"/>
      <c r="AM62" s="105"/>
      <c r="AN62" s="105"/>
    </row>
    <row r="63" spans="1:40">
      <c r="A63" s="105"/>
      <c r="B63" s="105"/>
      <c r="C63" s="109"/>
      <c r="D63" s="125" t="s">
        <v>144</v>
      </c>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10"/>
      <c r="AL63" s="105"/>
      <c r="AM63" s="105"/>
      <c r="AN63" s="105"/>
    </row>
    <row r="64" spans="1:40" ht="6" customHeight="1">
      <c r="C64" s="145"/>
      <c r="D64" s="146"/>
      <c r="E64" s="146"/>
      <c r="F64" s="146"/>
      <c r="G64" s="146"/>
      <c r="H64" s="146"/>
      <c r="I64" s="146"/>
      <c r="J64" s="146"/>
      <c r="K64" s="146"/>
      <c r="L64" s="146"/>
      <c r="M64" s="146"/>
      <c r="N64" s="146"/>
      <c r="O64" s="146"/>
      <c r="P64" s="146"/>
      <c r="Q64" s="146"/>
      <c r="R64" s="146"/>
      <c r="S64" s="146"/>
      <c r="T64" s="146"/>
      <c r="U64" s="146"/>
      <c r="V64" s="146"/>
      <c r="W64" s="146"/>
      <c r="X64" s="146"/>
      <c r="Y64" s="146"/>
      <c r="Z64" s="146"/>
      <c r="AA64" s="146"/>
      <c r="AB64" s="146"/>
      <c r="AC64" s="146"/>
      <c r="AD64" s="146"/>
      <c r="AE64" s="146"/>
      <c r="AF64" s="146"/>
      <c r="AG64" s="146"/>
      <c r="AH64" s="146"/>
      <c r="AI64" s="146"/>
      <c r="AJ64" s="146"/>
      <c r="AK64" s="147"/>
    </row>
    <row r="65" ht="5.25" customHeight="1"/>
  </sheetData>
  <customSheetViews>
    <customSheetView guid="{A35F5B98-9B94-4847-B111-5994565B2C90}" scale="60" showPageBreaks="1" printArea="1" view="pageBreakPreview">
      <selection activeCell="H16" sqref="H16:AJ18"/>
      <pageMargins left="0.7" right="0.7" top="0.75" bottom="0.75" header="0.3" footer="0.3"/>
      <pageSetup paperSize="9" scale="77" orientation="portrait" r:id="rId1"/>
    </customSheetView>
    <customSheetView guid="{B49FCE62-7203-4C34-A051-738DE884AD97}" scale="60" showPageBreaks="1" printArea="1" view="pageBreakPreview">
      <selection activeCell="H16" sqref="H16:AJ18"/>
      <pageMargins left="0.7" right="0.7" top="0.75" bottom="0.75" header="0.3" footer="0.3"/>
      <pageSetup paperSize="9" scale="77" orientation="portrait" r:id="rId2"/>
    </customSheetView>
  </customSheetViews>
  <mergeCells count="46">
    <mergeCell ref="M4:AA4"/>
    <mergeCell ref="D5:AJ5"/>
    <mergeCell ref="D10:G12"/>
    <mergeCell ref="H10:O12"/>
    <mergeCell ref="P10:S12"/>
    <mergeCell ref="T10:AC12"/>
    <mergeCell ref="AD10:AF12"/>
    <mergeCell ref="AG10:AJ12"/>
    <mergeCell ref="D33:AJ36"/>
    <mergeCell ref="D13:G15"/>
    <mergeCell ref="H13:AJ15"/>
    <mergeCell ref="D16:G18"/>
    <mergeCell ref="H16:AJ18"/>
    <mergeCell ref="D19:G20"/>
    <mergeCell ref="H19:AJ20"/>
    <mergeCell ref="D21:G24"/>
    <mergeCell ref="H21:AJ24"/>
    <mergeCell ref="D25:G27"/>
    <mergeCell ref="D28:G29"/>
    <mergeCell ref="H28:AJ29"/>
    <mergeCell ref="M42:U42"/>
    <mergeCell ref="V42:AA42"/>
    <mergeCell ref="AB42:AJ42"/>
    <mergeCell ref="H43:AJ45"/>
    <mergeCell ref="D38:G41"/>
    <mergeCell ref="H38:L38"/>
    <mergeCell ref="M38:U38"/>
    <mergeCell ref="V38:AA38"/>
    <mergeCell ref="AB38:AJ38"/>
    <mergeCell ref="H39:AJ41"/>
    <mergeCell ref="D62:AJ62"/>
    <mergeCell ref="AD9:AJ9"/>
    <mergeCell ref="D54:G55"/>
    <mergeCell ref="H54:AJ55"/>
    <mergeCell ref="D59:V59"/>
    <mergeCell ref="W59:AJ59"/>
    <mergeCell ref="D60:V61"/>
    <mergeCell ref="W60:AJ61"/>
    <mergeCell ref="D48:G50"/>
    <mergeCell ref="H48:W50"/>
    <mergeCell ref="X48:AC50"/>
    <mergeCell ref="AD48:AJ50"/>
    <mergeCell ref="D51:G53"/>
    <mergeCell ref="H51:AJ53"/>
    <mergeCell ref="D42:G45"/>
    <mergeCell ref="H42:L42"/>
  </mergeCells>
  <phoneticPr fontId="18"/>
  <pageMargins left="0.7" right="0.7" top="0.75" bottom="0.75" header="0.3" footer="0.3"/>
  <pageSetup paperSize="9" scale="77"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M68"/>
  <sheetViews>
    <sheetView view="pageBreakPreview" zoomScale="60" zoomScaleNormal="100" workbookViewId="0">
      <selection activeCell="H14" sqref="H14:AJ17"/>
    </sheetView>
  </sheetViews>
  <sheetFormatPr defaultColWidth="9" defaultRowHeight="12"/>
  <cols>
    <col min="1" max="39" width="2.58203125" style="104" customWidth="1"/>
    <col min="40" max="16384" width="9" style="104"/>
  </cols>
  <sheetData>
    <row r="2" spans="1:39" ht="14.25" customHeight="1">
      <c r="A2" s="105"/>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row>
    <row r="3" spans="1:39" ht="14.25" customHeight="1">
      <c r="A3" s="105"/>
      <c r="B3" s="105"/>
      <c r="C3" s="106"/>
      <c r="D3" s="107"/>
      <c r="E3" s="107"/>
      <c r="F3" s="107"/>
      <c r="G3" s="107"/>
      <c r="H3" s="107"/>
      <c r="I3" s="148"/>
      <c r="J3" s="107"/>
      <c r="K3" s="107"/>
      <c r="L3" s="107"/>
      <c r="M3" s="107"/>
      <c r="N3" s="107"/>
      <c r="O3" s="107"/>
      <c r="P3" s="149"/>
      <c r="Q3" s="107"/>
      <c r="R3" s="107"/>
      <c r="S3" s="107"/>
      <c r="T3" s="107"/>
      <c r="U3" s="107"/>
      <c r="V3" s="107"/>
      <c r="W3" s="107"/>
      <c r="X3" s="107"/>
      <c r="Y3" s="107"/>
      <c r="Z3" s="107"/>
      <c r="AA3" s="107"/>
      <c r="AB3" s="107"/>
      <c r="AC3" s="107"/>
      <c r="AD3" s="107"/>
      <c r="AE3" s="107"/>
      <c r="AF3" s="107"/>
      <c r="AG3" s="107"/>
      <c r="AH3" s="107"/>
      <c r="AI3" s="107"/>
      <c r="AJ3" s="107"/>
      <c r="AK3" s="108"/>
      <c r="AL3" s="105"/>
      <c r="AM3" s="105"/>
    </row>
    <row r="4" spans="1:39" ht="14.25" customHeight="1">
      <c r="C4" s="111"/>
      <c r="D4" s="112"/>
      <c r="E4" s="112"/>
      <c r="F4" s="112"/>
      <c r="G4" s="112"/>
      <c r="H4" s="113"/>
      <c r="I4" s="113"/>
      <c r="J4" s="112"/>
      <c r="K4" s="112"/>
      <c r="L4" s="112"/>
      <c r="M4" s="112"/>
      <c r="N4" s="112"/>
      <c r="O4" s="112"/>
      <c r="P4" s="112"/>
      <c r="Q4" s="150"/>
      <c r="R4" s="150"/>
      <c r="S4" s="150"/>
      <c r="T4" s="150"/>
      <c r="U4" s="150"/>
      <c r="V4" s="150"/>
      <c r="W4" s="150"/>
      <c r="X4" s="150"/>
      <c r="Y4" s="113"/>
      <c r="Z4" s="113"/>
      <c r="AA4" s="113"/>
      <c r="AB4" s="113"/>
      <c r="AC4" s="113"/>
      <c r="AD4" s="113"/>
      <c r="AE4" s="113"/>
      <c r="AF4" s="113"/>
      <c r="AG4" s="113"/>
      <c r="AH4" s="113"/>
      <c r="AI4" s="113"/>
      <c r="AJ4" s="113"/>
      <c r="AK4" s="114"/>
      <c r="AL4" s="113"/>
      <c r="AM4" s="105"/>
    </row>
    <row r="5" spans="1:39" ht="14.25" customHeight="1">
      <c r="C5" s="111"/>
      <c r="D5" s="691" t="s">
        <v>222</v>
      </c>
      <c r="E5" s="691"/>
      <c r="F5" s="691"/>
      <c r="G5" s="691"/>
      <c r="H5" s="691"/>
      <c r="I5" s="691"/>
      <c r="J5" s="691"/>
      <c r="K5" s="691"/>
      <c r="L5" s="691"/>
      <c r="M5" s="691"/>
      <c r="N5" s="691"/>
      <c r="O5" s="691"/>
      <c r="P5" s="691"/>
      <c r="Q5" s="691"/>
      <c r="R5" s="691"/>
      <c r="S5" s="691"/>
      <c r="T5" s="691"/>
      <c r="U5" s="691"/>
      <c r="V5" s="691"/>
      <c r="W5" s="691"/>
      <c r="X5" s="691"/>
      <c r="Y5" s="691"/>
      <c r="Z5" s="691"/>
      <c r="AA5" s="691"/>
      <c r="AB5" s="691"/>
      <c r="AC5" s="691"/>
      <c r="AD5" s="691"/>
      <c r="AE5" s="691"/>
      <c r="AF5" s="691"/>
      <c r="AG5" s="691"/>
      <c r="AH5" s="691"/>
      <c r="AI5" s="691"/>
      <c r="AJ5" s="691"/>
      <c r="AK5" s="114"/>
      <c r="AL5" s="113"/>
      <c r="AM5" s="105"/>
    </row>
    <row r="6" spans="1:39" ht="14.25" customHeight="1">
      <c r="A6" s="105"/>
      <c r="B6" s="105"/>
      <c r="C6" s="109"/>
      <c r="D6" s="105"/>
      <c r="E6" s="105"/>
      <c r="F6" s="105"/>
      <c r="G6" s="105"/>
      <c r="H6" s="115"/>
      <c r="I6" s="115"/>
      <c r="J6" s="115"/>
      <c r="K6" s="244"/>
      <c r="L6" s="244"/>
      <c r="M6" s="244"/>
      <c r="N6" s="244"/>
      <c r="O6" s="244"/>
      <c r="P6" s="244"/>
      <c r="Q6" s="244"/>
      <c r="R6" s="244"/>
      <c r="S6" s="244"/>
      <c r="T6" s="244"/>
      <c r="U6" s="244"/>
      <c r="V6" s="244"/>
      <c r="W6" s="244"/>
      <c r="X6" s="244"/>
      <c r="Y6" s="244"/>
      <c r="Z6" s="244"/>
      <c r="AA6" s="244"/>
      <c r="AB6" s="244"/>
      <c r="AC6" s="244"/>
      <c r="AD6" s="105"/>
      <c r="AE6" s="105"/>
      <c r="AF6" s="105"/>
      <c r="AG6" s="105"/>
      <c r="AH6" s="105"/>
      <c r="AI6" s="105"/>
      <c r="AJ6" s="105"/>
      <c r="AK6" s="110"/>
      <c r="AL6" s="105"/>
      <c r="AM6" s="105"/>
    </row>
    <row r="7" spans="1:39" ht="14.25" customHeight="1">
      <c r="A7" s="105"/>
      <c r="B7" s="105"/>
      <c r="C7" s="109"/>
      <c r="D7" s="105" t="s">
        <v>120</v>
      </c>
      <c r="E7" s="105"/>
      <c r="F7" s="105"/>
      <c r="G7" s="105"/>
      <c r="H7" s="115"/>
      <c r="I7" s="115"/>
      <c r="J7" s="115"/>
      <c r="K7" s="244"/>
      <c r="L7" s="244"/>
      <c r="M7" s="244"/>
      <c r="N7" s="244"/>
      <c r="O7" s="244"/>
      <c r="P7" s="244"/>
      <c r="Q7" s="244"/>
      <c r="R7" s="244"/>
      <c r="S7" s="244"/>
      <c r="T7" s="244"/>
      <c r="U7" s="244"/>
      <c r="V7" s="244"/>
      <c r="W7" s="244"/>
      <c r="X7" s="244"/>
      <c r="Y7" s="244"/>
      <c r="Z7" s="244"/>
      <c r="AA7" s="244"/>
      <c r="AB7" s="244"/>
      <c r="AC7" s="244"/>
      <c r="AD7" s="105"/>
      <c r="AE7" s="105"/>
      <c r="AF7" s="105"/>
      <c r="AG7" s="105"/>
      <c r="AH7" s="105"/>
      <c r="AI7" s="105"/>
      <c r="AJ7" s="105"/>
      <c r="AK7" s="110"/>
      <c r="AL7" s="105"/>
      <c r="AM7" s="105"/>
    </row>
    <row r="8" spans="1:39" ht="14.25" customHeight="1">
      <c r="A8" s="105"/>
      <c r="B8" s="105"/>
      <c r="C8" s="109"/>
      <c r="D8" s="105"/>
      <c r="E8" s="105"/>
      <c r="F8" s="105"/>
      <c r="G8" s="105"/>
      <c r="H8" s="105"/>
      <c r="I8" s="105"/>
      <c r="J8" s="105"/>
      <c r="K8" s="115"/>
      <c r="L8" s="228"/>
      <c r="M8" s="228"/>
      <c r="N8" s="228"/>
      <c r="O8" s="228"/>
      <c r="P8" s="228"/>
      <c r="Q8" s="228"/>
      <c r="R8" s="228"/>
      <c r="S8" s="228"/>
      <c r="T8" s="228"/>
      <c r="U8" s="228"/>
      <c r="V8" s="228"/>
      <c r="W8" s="228"/>
      <c r="X8" s="228"/>
      <c r="Y8" s="228"/>
      <c r="Z8" s="228"/>
      <c r="AA8" s="228"/>
      <c r="AB8" s="228"/>
      <c r="AC8" s="105"/>
      <c r="AD8" s="105"/>
      <c r="AE8" s="105"/>
      <c r="AF8" s="105"/>
      <c r="AG8" s="105"/>
      <c r="AH8" s="105"/>
      <c r="AI8" s="105"/>
      <c r="AJ8" s="105"/>
      <c r="AK8" s="110"/>
      <c r="AL8" s="105"/>
      <c r="AM8" s="105"/>
    </row>
    <row r="9" spans="1:39" ht="14.25" customHeight="1">
      <c r="A9" s="105"/>
      <c r="B9" s="105"/>
      <c r="C9" s="109"/>
      <c r="D9" s="118"/>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483">
        <f ca="1">TODAY()</f>
        <v>46316</v>
      </c>
      <c r="AE9" s="483"/>
      <c r="AF9" s="483"/>
      <c r="AG9" s="483"/>
      <c r="AH9" s="483"/>
      <c r="AI9" s="483"/>
      <c r="AJ9" s="483"/>
      <c r="AK9" s="120"/>
      <c r="AL9" s="121"/>
      <c r="AM9" s="105"/>
    </row>
    <row r="10" spans="1:39" ht="14.25" customHeight="1">
      <c r="A10" s="105"/>
      <c r="B10" s="105"/>
      <c r="C10" s="109"/>
      <c r="D10" s="558" t="s">
        <v>122</v>
      </c>
      <c r="E10" s="559"/>
      <c r="F10" s="559"/>
      <c r="G10" s="559"/>
      <c r="H10" s="564"/>
      <c r="I10" s="564"/>
      <c r="J10" s="564"/>
      <c r="K10" s="564"/>
      <c r="L10" s="564"/>
      <c r="M10" s="564"/>
      <c r="N10" s="564"/>
      <c r="O10" s="564"/>
      <c r="P10" s="568" t="s">
        <v>147</v>
      </c>
      <c r="Q10" s="569"/>
      <c r="R10" s="454"/>
      <c r="S10" s="455"/>
      <c r="T10" s="713">
        <f>証明書!AL2</f>
        <v>16851</v>
      </c>
      <c r="U10" s="713"/>
      <c r="V10" s="471"/>
      <c r="W10" s="471"/>
      <c r="X10" s="471"/>
      <c r="Y10" s="471"/>
      <c r="Z10" s="471"/>
      <c r="AA10" s="471"/>
      <c r="AB10" s="471"/>
      <c r="AC10" s="471"/>
      <c r="AD10" s="568" t="s">
        <v>148</v>
      </c>
      <c r="AE10" s="569"/>
      <c r="AF10" s="455"/>
      <c r="AG10" s="453" t="str">
        <f>証明書!AM2</f>
        <v>男</v>
      </c>
      <c r="AH10" s="454"/>
      <c r="AI10" s="454"/>
      <c r="AJ10" s="455"/>
      <c r="AK10" s="229"/>
      <c r="AL10" s="228"/>
      <c r="AM10" s="105"/>
    </row>
    <row r="11" spans="1:39" ht="14.25" customHeight="1">
      <c r="A11" s="105"/>
      <c r="B11" s="105"/>
      <c r="C11" s="109"/>
      <c r="D11" s="560"/>
      <c r="E11" s="561"/>
      <c r="F11" s="561"/>
      <c r="G11" s="561"/>
      <c r="H11" s="564"/>
      <c r="I11" s="564"/>
      <c r="J11" s="564"/>
      <c r="K11" s="564"/>
      <c r="L11" s="564"/>
      <c r="M11" s="564"/>
      <c r="N11" s="564"/>
      <c r="O11" s="564"/>
      <c r="P11" s="570"/>
      <c r="Q11" s="571"/>
      <c r="R11" s="457"/>
      <c r="S11" s="458"/>
      <c r="T11" s="471"/>
      <c r="U11" s="471"/>
      <c r="V11" s="471"/>
      <c r="W11" s="471"/>
      <c r="X11" s="471"/>
      <c r="Y11" s="471"/>
      <c r="Z11" s="471"/>
      <c r="AA11" s="471"/>
      <c r="AB11" s="471"/>
      <c r="AC11" s="471"/>
      <c r="AD11" s="570"/>
      <c r="AE11" s="571"/>
      <c r="AF11" s="458"/>
      <c r="AG11" s="456"/>
      <c r="AH11" s="457"/>
      <c r="AI11" s="457"/>
      <c r="AJ11" s="458"/>
      <c r="AK11" s="229"/>
      <c r="AL11" s="228"/>
      <c r="AM11" s="105"/>
    </row>
    <row r="12" spans="1:39" ht="14.25" customHeight="1">
      <c r="A12" s="105"/>
      <c r="B12" s="105"/>
      <c r="C12" s="109"/>
      <c r="D12" s="560"/>
      <c r="E12" s="561"/>
      <c r="F12" s="561"/>
      <c r="G12" s="561"/>
      <c r="H12" s="564"/>
      <c r="I12" s="564"/>
      <c r="J12" s="564"/>
      <c r="K12" s="564"/>
      <c r="L12" s="564"/>
      <c r="M12" s="564"/>
      <c r="N12" s="564"/>
      <c r="O12" s="564"/>
      <c r="P12" s="570"/>
      <c r="Q12" s="571"/>
      <c r="R12" s="457"/>
      <c r="S12" s="458"/>
      <c r="T12" s="471"/>
      <c r="U12" s="471"/>
      <c r="V12" s="471"/>
      <c r="W12" s="471"/>
      <c r="X12" s="471"/>
      <c r="Y12" s="471"/>
      <c r="Z12" s="471"/>
      <c r="AA12" s="471"/>
      <c r="AB12" s="471"/>
      <c r="AC12" s="471"/>
      <c r="AD12" s="570"/>
      <c r="AE12" s="571"/>
      <c r="AF12" s="458"/>
      <c r="AG12" s="456"/>
      <c r="AH12" s="457"/>
      <c r="AI12" s="457"/>
      <c r="AJ12" s="458"/>
      <c r="AK12" s="229"/>
      <c r="AL12" s="228"/>
      <c r="AM12" s="105"/>
    </row>
    <row r="13" spans="1:39" ht="14.25" customHeight="1">
      <c r="A13" s="105"/>
      <c r="B13" s="105"/>
      <c r="C13" s="109"/>
      <c r="D13" s="562"/>
      <c r="E13" s="563"/>
      <c r="F13" s="563"/>
      <c r="G13" s="563"/>
      <c r="H13" s="564"/>
      <c r="I13" s="564"/>
      <c r="J13" s="564"/>
      <c r="K13" s="564"/>
      <c r="L13" s="564"/>
      <c r="M13" s="564"/>
      <c r="N13" s="564"/>
      <c r="O13" s="564"/>
      <c r="P13" s="459"/>
      <c r="Q13" s="460"/>
      <c r="R13" s="460"/>
      <c r="S13" s="461"/>
      <c r="T13" s="471"/>
      <c r="U13" s="471"/>
      <c r="V13" s="471"/>
      <c r="W13" s="471"/>
      <c r="X13" s="471"/>
      <c r="Y13" s="471"/>
      <c r="Z13" s="471"/>
      <c r="AA13" s="471"/>
      <c r="AB13" s="471"/>
      <c r="AC13" s="471"/>
      <c r="AD13" s="459"/>
      <c r="AE13" s="460"/>
      <c r="AF13" s="461"/>
      <c r="AG13" s="459"/>
      <c r="AH13" s="460"/>
      <c r="AI13" s="460"/>
      <c r="AJ13" s="461"/>
      <c r="AK13" s="229"/>
      <c r="AL13" s="228"/>
      <c r="AM13" s="105"/>
    </row>
    <row r="14" spans="1:39" ht="14.25" customHeight="1">
      <c r="A14" s="105"/>
      <c r="B14" s="105"/>
      <c r="C14" s="109"/>
      <c r="D14" s="530" t="s">
        <v>126</v>
      </c>
      <c r="E14" s="530"/>
      <c r="F14" s="530"/>
      <c r="G14" s="530"/>
      <c r="H14" s="704" t="str">
        <f>証明書!AJ2</f>
        <v>乙川　二郎</v>
      </c>
      <c r="I14" s="705"/>
      <c r="J14" s="705"/>
      <c r="K14" s="705"/>
      <c r="L14" s="705"/>
      <c r="M14" s="705"/>
      <c r="N14" s="705"/>
      <c r="O14" s="705"/>
      <c r="P14" s="705"/>
      <c r="Q14" s="705"/>
      <c r="R14" s="705"/>
      <c r="S14" s="705"/>
      <c r="T14" s="705"/>
      <c r="U14" s="705"/>
      <c r="V14" s="705"/>
      <c r="W14" s="705"/>
      <c r="X14" s="705"/>
      <c r="Y14" s="705"/>
      <c r="Z14" s="705"/>
      <c r="AA14" s="705"/>
      <c r="AB14" s="705"/>
      <c r="AC14" s="705"/>
      <c r="AD14" s="705"/>
      <c r="AE14" s="705"/>
      <c r="AF14" s="705"/>
      <c r="AG14" s="705"/>
      <c r="AH14" s="705"/>
      <c r="AI14" s="705"/>
      <c r="AJ14" s="706"/>
      <c r="AK14" s="234"/>
      <c r="AL14" s="233"/>
      <c r="AM14" s="105"/>
    </row>
    <row r="15" spans="1:39" ht="14.25" customHeight="1">
      <c r="A15" s="105"/>
      <c r="B15" s="105"/>
      <c r="C15" s="109"/>
      <c r="D15" s="530"/>
      <c r="E15" s="530"/>
      <c r="F15" s="530"/>
      <c r="G15" s="530"/>
      <c r="H15" s="707"/>
      <c r="I15" s="708"/>
      <c r="J15" s="708"/>
      <c r="K15" s="708"/>
      <c r="L15" s="708"/>
      <c r="M15" s="708"/>
      <c r="N15" s="708"/>
      <c r="O15" s="708"/>
      <c r="P15" s="708"/>
      <c r="Q15" s="708"/>
      <c r="R15" s="708"/>
      <c r="S15" s="708"/>
      <c r="T15" s="708"/>
      <c r="U15" s="708"/>
      <c r="V15" s="708"/>
      <c r="W15" s="708"/>
      <c r="X15" s="708"/>
      <c r="Y15" s="708"/>
      <c r="Z15" s="708"/>
      <c r="AA15" s="708"/>
      <c r="AB15" s="708"/>
      <c r="AC15" s="708"/>
      <c r="AD15" s="708"/>
      <c r="AE15" s="708"/>
      <c r="AF15" s="708"/>
      <c r="AG15" s="708"/>
      <c r="AH15" s="708"/>
      <c r="AI15" s="708"/>
      <c r="AJ15" s="709"/>
      <c r="AK15" s="234"/>
      <c r="AL15" s="233"/>
      <c r="AM15" s="105"/>
    </row>
    <row r="16" spans="1:39" ht="14.25" customHeight="1">
      <c r="A16" s="105"/>
      <c r="B16" s="105"/>
      <c r="C16" s="109"/>
      <c r="D16" s="530"/>
      <c r="E16" s="530"/>
      <c r="F16" s="530"/>
      <c r="G16" s="530"/>
      <c r="H16" s="707"/>
      <c r="I16" s="708"/>
      <c r="J16" s="708"/>
      <c r="K16" s="708"/>
      <c r="L16" s="708"/>
      <c r="M16" s="708"/>
      <c r="N16" s="708"/>
      <c r="O16" s="708"/>
      <c r="P16" s="708"/>
      <c r="Q16" s="708"/>
      <c r="R16" s="708"/>
      <c r="S16" s="708"/>
      <c r="T16" s="708"/>
      <c r="U16" s="708"/>
      <c r="V16" s="708"/>
      <c r="W16" s="708"/>
      <c r="X16" s="708"/>
      <c r="Y16" s="708"/>
      <c r="Z16" s="708"/>
      <c r="AA16" s="708"/>
      <c r="AB16" s="708"/>
      <c r="AC16" s="708"/>
      <c r="AD16" s="708"/>
      <c r="AE16" s="708"/>
      <c r="AF16" s="708"/>
      <c r="AG16" s="708"/>
      <c r="AH16" s="708"/>
      <c r="AI16" s="708"/>
      <c r="AJ16" s="709"/>
      <c r="AK16" s="234"/>
      <c r="AL16" s="233"/>
      <c r="AM16" s="105"/>
    </row>
    <row r="17" spans="1:39" ht="14.25" customHeight="1">
      <c r="A17" s="105"/>
      <c r="B17" s="105"/>
      <c r="C17" s="109"/>
      <c r="D17" s="530"/>
      <c r="E17" s="530"/>
      <c r="F17" s="530"/>
      <c r="G17" s="530"/>
      <c r="H17" s="710"/>
      <c r="I17" s="711"/>
      <c r="J17" s="711"/>
      <c r="K17" s="711"/>
      <c r="L17" s="711"/>
      <c r="M17" s="711"/>
      <c r="N17" s="711"/>
      <c r="O17" s="711"/>
      <c r="P17" s="711"/>
      <c r="Q17" s="711"/>
      <c r="R17" s="711"/>
      <c r="S17" s="711"/>
      <c r="T17" s="711"/>
      <c r="U17" s="711"/>
      <c r="V17" s="711"/>
      <c r="W17" s="711"/>
      <c r="X17" s="711"/>
      <c r="Y17" s="711"/>
      <c r="Z17" s="711"/>
      <c r="AA17" s="711"/>
      <c r="AB17" s="711"/>
      <c r="AC17" s="711"/>
      <c r="AD17" s="711"/>
      <c r="AE17" s="711"/>
      <c r="AF17" s="711"/>
      <c r="AG17" s="711"/>
      <c r="AH17" s="711"/>
      <c r="AI17" s="711"/>
      <c r="AJ17" s="712"/>
      <c r="AK17" s="234"/>
      <c r="AL17" s="233"/>
      <c r="AM17" s="105"/>
    </row>
    <row r="18" spans="1:39" ht="14.25" customHeight="1">
      <c r="A18" s="105"/>
      <c r="B18" s="105"/>
      <c r="C18" s="109"/>
      <c r="D18" s="530" t="s">
        <v>127</v>
      </c>
      <c r="E18" s="530"/>
      <c r="F18" s="530"/>
      <c r="G18" s="530"/>
      <c r="H18" s="484" t="str">
        <f>"北海道河西郡"&amp;証明書!AN3</f>
        <v>北海道河西郡芽室町中央二丁目２番地　</v>
      </c>
      <c r="I18" s="485"/>
      <c r="J18" s="485"/>
      <c r="K18" s="485"/>
      <c r="L18" s="485"/>
      <c r="M18" s="485"/>
      <c r="N18" s="485"/>
      <c r="O18" s="485"/>
      <c r="P18" s="485"/>
      <c r="Q18" s="485"/>
      <c r="R18" s="485"/>
      <c r="S18" s="485"/>
      <c r="T18" s="485"/>
      <c r="U18" s="485"/>
      <c r="V18" s="485"/>
      <c r="W18" s="485"/>
      <c r="X18" s="485"/>
      <c r="Y18" s="485"/>
      <c r="Z18" s="485"/>
      <c r="AA18" s="485"/>
      <c r="AB18" s="485"/>
      <c r="AC18" s="485"/>
      <c r="AD18" s="485"/>
      <c r="AE18" s="485"/>
      <c r="AF18" s="485"/>
      <c r="AG18" s="485"/>
      <c r="AH18" s="485"/>
      <c r="AI18" s="485"/>
      <c r="AJ18" s="486"/>
      <c r="AK18" s="234"/>
      <c r="AL18" s="233"/>
      <c r="AM18" s="105"/>
    </row>
    <row r="19" spans="1:39" ht="14.25" customHeight="1">
      <c r="A19" s="105"/>
      <c r="B19" s="105"/>
      <c r="C19" s="109"/>
      <c r="D19" s="530"/>
      <c r="E19" s="530"/>
      <c r="F19" s="530"/>
      <c r="G19" s="530"/>
      <c r="H19" s="487"/>
      <c r="I19" s="488"/>
      <c r="J19" s="488"/>
      <c r="K19" s="488"/>
      <c r="L19" s="488"/>
      <c r="M19" s="488"/>
      <c r="N19" s="488"/>
      <c r="O19" s="488"/>
      <c r="P19" s="488"/>
      <c r="Q19" s="488"/>
      <c r="R19" s="488"/>
      <c r="S19" s="488"/>
      <c r="T19" s="488"/>
      <c r="U19" s="488"/>
      <c r="V19" s="488"/>
      <c r="W19" s="488"/>
      <c r="X19" s="488"/>
      <c r="Y19" s="488"/>
      <c r="Z19" s="488"/>
      <c r="AA19" s="488"/>
      <c r="AB19" s="488"/>
      <c r="AC19" s="488"/>
      <c r="AD19" s="488"/>
      <c r="AE19" s="488"/>
      <c r="AF19" s="488"/>
      <c r="AG19" s="488"/>
      <c r="AH19" s="488"/>
      <c r="AI19" s="488"/>
      <c r="AJ19" s="489"/>
      <c r="AK19" s="234"/>
      <c r="AL19" s="233"/>
      <c r="AM19" s="105"/>
    </row>
    <row r="20" spans="1:39" ht="14.25" customHeight="1">
      <c r="A20" s="105"/>
      <c r="B20" s="105"/>
      <c r="C20" s="109"/>
      <c r="D20" s="530"/>
      <c r="E20" s="530"/>
      <c r="F20" s="530"/>
      <c r="G20" s="530"/>
      <c r="H20" s="487"/>
      <c r="I20" s="488"/>
      <c r="J20" s="488"/>
      <c r="K20" s="488"/>
      <c r="L20" s="488"/>
      <c r="M20" s="488"/>
      <c r="N20" s="488"/>
      <c r="O20" s="488"/>
      <c r="P20" s="488"/>
      <c r="Q20" s="488"/>
      <c r="R20" s="488"/>
      <c r="S20" s="488"/>
      <c r="T20" s="488"/>
      <c r="U20" s="488"/>
      <c r="V20" s="488"/>
      <c r="W20" s="488"/>
      <c r="X20" s="488"/>
      <c r="Y20" s="488"/>
      <c r="Z20" s="488"/>
      <c r="AA20" s="488"/>
      <c r="AB20" s="488"/>
      <c r="AC20" s="488"/>
      <c r="AD20" s="488"/>
      <c r="AE20" s="488"/>
      <c r="AF20" s="488"/>
      <c r="AG20" s="488"/>
      <c r="AH20" s="488"/>
      <c r="AI20" s="488"/>
      <c r="AJ20" s="489"/>
      <c r="AK20" s="234"/>
      <c r="AL20" s="233"/>
      <c r="AM20" s="105"/>
    </row>
    <row r="21" spans="1:39" ht="14.25" customHeight="1">
      <c r="A21" s="105"/>
      <c r="B21" s="105"/>
      <c r="C21" s="109"/>
      <c r="D21" s="530"/>
      <c r="E21" s="530"/>
      <c r="F21" s="530"/>
      <c r="G21" s="530"/>
      <c r="H21" s="487"/>
      <c r="I21" s="488"/>
      <c r="J21" s="488"/>
      <c r="K21" s="488"/>
      <c r="L21" s="488"/>
      <c r="M21" s="488"/>
      <c r="N21" s="488"/>
      <c r="O21" s="488"/>
      <c r="P21" s="488"/>
      <c r="Q21" s="488"/>
      <c r="R21" s="488"/>
      <c r="S21" s="488"/>
      <c r="T21" s="488"/>
      <c r="U21" s="488"/>
      <c r="V21" s="488"/>
      <c r="W21" s="488"/>
      <c r="X21" s="488"/>
      <c r="Y21" s="488"/>
      <c r="Z21" s="488"/>
      <c r="AA21" s="488"/>
      <c r="AB21" s="488"/>
      <c r="AC21" s="488"/>
      <c r="AD21" s="488"/>
      <c r="AE21" s="488"/>
      <c r="AF21" s="488"/>
      <c r="AG21" s="488"/>
      <c r="AH21" s="488"/>
      <c r="AI21" s="488"/>
      <c r="AJ21" s="489"/>
      <c r="AK21" s="234"/>
      <c r="AL21" s="233"/>
      <c r="AM21" s="105"/>
    </row>
    <row r="22" spans="1:39" ht="14.25" customHeight="1">
      <c r="A22" s="105"/>
      <c r="B22" s="105"/>
      <c r="C22" s="109"/>
      <c r="D22" s="530"/>
      <c r="E22" s="530"/>
      <c r="F22" s="530"/>
      <c r="G22" s="530"/>
      <c r="H22" s="487"/>
      <c r="I22" s="488"/>
      <c r="J22" s="488"/>
      <c r="K22" s="488"/>
      <c r="L22" s="488"/>
      <c r="M22" s="488"/>
      <c r="N22" s="488"/>
      <c r="O22" s="488"/>
      <c r="P22" s="488"/>
      <c r="Q22" s="488"/>
      <c r="R22" s="488"/>
      <c r="S22" s="488"/>
      <c r="T22" s="488"/>
      <c r="U22" s="488"/>
      <c r="V22" s="488"/>
      <c r="W22" s="488"/>
      <c r="X22" s="488"/>
      <c r="Y22" s="488"/>
      <c r="Z22" s="488"/>
      <c r="AA22" s="488"/>
      <c r="AB22" s="488"/>
      <c r="AC22" s="488"/>
      <c r="AD22" s="488"/>
      <c r="AE22" s="488"/>
      <c r="AF22" s="488"/>
      <c r="AG22" s="488"/>
      <c r="AH22" s="488"/>
      <c r="AI22" s="488"/>
      <c r="AJ22" s="489"/>
      <c r="AK22" s="234"/>
      <c r="AL22" s="233"/>
      <c r="AM22" s="105"/>
    </row>
    <row r="23" spans="1:39" ht="14.25" customHeight="1">
      <c r="A23" s="105"/>
      <c r="B23" s="105"/>
      <c r="C23" s="109"/>
      <c r="D23" s="530"/>
      <c r="E23" s="530"/>
      <c r="F23" s="530"/>
      <c r="G23" s="530"/>
      <c r="H23" s="490"/>
      <c r="I23" s="491"/>
      <c r="J23" s="491"/>
      <c r="K23" s="491"/>
      <c r="L23" s="491"/>
      <c r="M23" s="491"/>
      <c r="N23" s="491"/>
      <c r="O23" s="491"/>
      <c r="P23" s="491"/>
      <c r="Q23" s="491"/>
      <c r="R23" s="491"/>
      <c r="S23" s="491"/>
      <c r="T23" s="491"/>
      <c r="U23" s="491"/>
      <c r="V23" s="491"/>
      <c r="W23" s="491"/>
      <c r="X23" s="491"/>
      <c r="Y23" s="491"/>
      <c r="Z23" s="491"/>
      <c r="AA23" s="491"/>
      <c r="AB23" s="491"/>
      <c r="AC23" s="491"/>
      <c r="AD23" s="491"/>
      <c r="AE23" s="491"/>
      <c r="AF23" s="491"/>
      <c r="AG23" s="491"/>
      <c r="AH23" s="491"/>
      <c r="AI23" s="491"/>
      <c r="AJ23" s="492"/>
      <c r="AK23" s="234"/>
      <c r="AL23" s="233"/>
      <c r="AM23" s="105"/>
    </row>
    <row r="24" spans="1:39" ht="14.25" customHeight="1">
      <c r="A24" s="105"/>
      <c r="B24" s="105"/>
      <c r="C24" s="109"/>
      <c r="D24" s="530" t="s">
        <v>128</v>
      </c>
      <c r="E24" s="530"/>
      <c r="F24" s="530"/>
      <c r="G24" s="530"/>
      <c r="H24" s="484"/>
      <c r="I24" s="485"/>
      <c r="J24" s="485"/>
      <c r="K24" s="485"/>
      <c r="L24" s="485"/>
      <c r="M24" s="485"/>
      <c r="N24" s="485"/>
      <c r="O24" s="485"/>
      <c r="P24" s="485"/>
      <c r="Q24" s="485"/>
      <c r="R24" s="485"/>
      <c r="S24" s="485"/>
      <c r="T24" s="485"/>
      <c r="U24" s="485"/>
      <c r="V24" s="485"/>
      <c r="W24" s="485"/>
      <c r="X24" s="485"/>
      <c r="Y24" s="485"/>
      <c r="Z24" s="485"/>
      <c r="AA24" s="485"/>
      <c r="AB24" s="485"/>
      <c r="AC24" s="485"/>
      <c r="AD24" s="485"/>
      <c r="AE24" s="485"/>
      <c r="AF24" s="485"/>
      <c r="AG24" s="485"/>
      <c r="AH24" s="485"/>
      <c r="AI24" s="485"/>
      <c r="AJ24" s="486"/>
      <c r="AK24" s="229"/>
      <c r="AL24" s="228"/>
      <c r="AM24" s="105"/>
    </row>
    <row r="25" spans="1:39" ht="14.25" customHeight="1">
      <c r="A25" s="105"/>
      <c r="B25" s="105"/>
      <c r="C25" s="109"/>
      <c r="D25" s="530"/>
      <c r="E25" s="530"/>
      <c r="F25" s="530"/>
      <c r="G25" s="530"/>
      <c r="H25" s="487"/>
      <c r="I25" s="488"/>
      <c r="J25" s="488"/>
      <c r="K25" s="488"/>
      <c r="L25" s="488"/>
      <c r="M25" s="488"/>
      <c r="N25" s="488"/>
      <c r="O25" s="488"/>
      <c r="P25" s="488"/>
      <c r="Q25" s="488"/>
      <c r="R25" s="488"/>
      <c r="S25" s="488"/>
      <c r="T25" s="488"/>
      <c r="U25" s="488"/>
      <c r="V25" s="488"/>
      <c r="W25" s="488"/>
      <c r="X25" s="488"/>
      <c r="Y25" s="488"/>
      <c r="Z25" s="488"/>
      <c r="AA25" s="488"/>
      <c r="AB25" s="488"/>
      <c r="AC25" s="488"/>
      <c r="AD25" s="488"/>
      <c r="AE25" s="488"/>
      <c r="AF25" s="488"/>
      <c r="AG25" s="488"/>
      <c r="AH25" s="488"/>
      <c r="AI25" s="488"/>
      <c r="AJ25" s="489"/>
      <c r="AK25" s="229"/>
      <c r="AL25" s="228"/>
      <c r="AM25" s="105"/>
    </row>
    <row r="26" spans="1:39" ht="14.25" customHeight="1">
      <c r="A26" s="105"/>
      <c r="B26" s="105"/>
      <c r="C26" s="109"/>
      <c r="D26" s="530"/>
      <c r="E26" s="530"/>
      <c r="F26" s="530"/>
      <c r="G26" s="530"/>
      <c r="H26" s="487"/>
      <c r="I26" s="488"/>
      <c r="J26" s="488"/>
      <c r="K26" s="488"/>
      <c r="L26" s="488"/>
      <c r="M26" s="488"/>
      <c r="N26" s="488"/>
      <c r="O26" s="488"/>
      <c r="P26" s="488"/>
      <c r="Q26" s="488"/>
      <c r="R26" s="488"/>
      <c r="S26" s="488"/>
      <c r="T26" s="488"/>
      <c r="U26" s="488"/>
      <c r="V26" s="488"/>
      <c r="W26" s="488"/>
      <c r="X26" s="488"/>
      <c r="Y26" s="488"/>
      <c r="Z26" s="488"/>
      <c r="AA26" s="488"/>
      <c r="AB26" s="488"/>
      <c r="AC26" s="488"/>
      <c r="AD26" s="488"/>
      <c r="AE26" s="488"/>
      <c r="AF26" s="488"/>
      <c r="AG26" s="488"/>
      <c r="AH26" s="488"/>
      <c r="AI26" s="488"/>
      <c r="AJ26" s="489"/>
      <c r="AK26" s="229"/>
      <c r="AL26" s="228"/>
      <c r="AM26" s="105"/>
    </row>
    <row r="27" spans="1:39" ht="14.25" customHeight="1">
      <c r="A27" s="105"/>
      <c r="B27" s="105"/>
      <c r="C27" s="109"/>
      <c r="D27" s="530"/>
      <c r="E27" s="530"/>
      <c r="F27" s="530"/>
      <c r="G27" s="530"/>
      <c r="H27" s="490"/>
      <c r="I27" s="491"/>
      <c r="J27" s="491"/>
      <c r="K27" s="491"/>
      <c r="L27" s="491"/>
      <c r="M27" s="491"/>
      <c r="N27" s="491"/>
      <c r="O27" s="491"/>
      <c r="P27" s="491"/>
      <c r="Q27" s="491"/>
      <c r="R27" s="491"/>
      <c r="S27" s="491"/>
      <c r="T27" s="491"/>
      <c r="U27" s="491"/>
      <c r="V27" s="491"/>
      <c r="W27" s="491"/>
      <c r="X27" s="491"/>
      <c r="Y27" s="491"/>
      <c r="Z27" s="491"/>
      <c r="AA27" s="491"/>
      <c r="AB27" s="491"/>
      <c r="AC27" s="491"/>
      <c r="AD27" s="491"/>
      <c r="AE27" s="491"/>
      <c r="AF27" s="491"/>
      <c r="AG27" s="491"/>
      <c r="AH27" s="491"/>
      <c r="AI27" s="491"/>
      <c r="AJ27" s="492"/>
      <c r="AK27" s="229"/>
      <c r="AL27" s="228"/>
      <c r="AM27" s="105"/>
    </row>
    <row r="28" spans="1:39" ht="14.25" customHeight="1">
      <c r="A28" s="105"/>
      <c r="B28" s="105"/>
      <c r="C28" s="109"/>
      <c r="D28" s="462" t="s">
        <v>150</v>
      </c>
      <c r="E28" s="463"/>
      <c r="F28" s="463"/>
      <c r="G28" s="464"/>
      <c r="H28" s="484"/>
      <c r="I28" s="485"/>
      <c r="J28" s="485"/>
      <c r="K28" s="485"/>
      <c r="L28" s="485"/>
      <c r="M28" s="485"/>
      <c r="N28" s="485"/>
      <c r="O28" s="485"/>
      <c r="P28" s="485"/>
      <c r="Q28" s="485"/>
      <c r="R28" s="485"/>
      <c r="S28" s="485"/>
      <c r="T28" s="485"/>
      <c r="U28" s="485"/>
      <c r="V28" s="485"/>
      <c r="W28" s="485"/>
      <c r="X28" s="485"/>
      <c r="Y28" s="485"/>
      <c r="Z28" s="485"/>
      <c r="AA28" s="485"/>
      <c r="AB28" s="485"/>
      <c r="AC28" s="485"/>
      <c r="AD28" s="485"/>
      <c r="AE28" s="485"/>
      <c r="AF28" s="485"/>
      <c r="AG28" s="485"/>
      <c r="AH28" s="485"/>
      <c r="AI28" s="485"/>
      <c r="AJ28" s="486"/>
      <c r="AK28" s="234"/>
      <c r="AL28" s="233"/>
      <c r="AM28" s="105"/>
    </row>
    <row r="29" spans="1:39" ht="14.25" customHeight="1">
      <c r="A29" s="105"/>
      <c r="B29" s="105"/>
      <c r="C29" s="109"/>
      <c r="D29" s="465"/>
      <c r="E29" s="466"/>
      <c r="F29" s="466"/>
      <c r="G29" s="467"/>
      <c r="H29" s="487"/>
      <c r="I29" s="488"/>
      <c r="J29" s="488"/>
      <c r="K29" s="488"/>
      <c r="L29" s="488"/>
      <c r="M29" s="488"/>
      <c r="N29" s="488"/>
      <c r="O29" s="488"/>
      <c r="P29" s="488"/>
      <c r="Q29" s="488"/>
      <c r="R29" s="488"/>
      <c r="S29" s="488"/>
      <c r="T29" s="488"/>
      <c r="U29" s="488"/>
      <c r="V29" s="488"/>
      <c r="W29" s="488"/>
      <c r="X29" s="488"/>
      <c r="Y29" s="488"/>
      <c r="Z29" s="488"/>
      <c r="AA29" s="488"/>
      <c r="AB29" s="488"/>
      <c r="AC29" s="488"/>
      <c r="AD29" s="488"/>
      <c r="AE29" s="488"/>
      <c r="AF29" s="488"/>
      <c r="AG29" s="488"/>
      <c r="AH29" s="488"/>
      <c r="AI29" s="488"/>
      <c r="AJ29" s="489"/>
      <c r="AK29" s="234"/>
      <c r="AL29" s="233"/>
      <c r="AM29" s="105"/>
    </row>
    <row r="30" spans="1:39" ht="14.25" customHeight="1">
      <c r="A30" s="105"/>
      <c r="B30" s="105"/>
      <c r="C30" s="109"/>
      <c r="D30" s="465"/>
      <c r="E30" s="466"/>
      <c r="F30" s="466"/>
      <c r="G30" s="467"/>
      <c r="H30" s="487"/>
      <c r="I30" s="488"/>
      <c r="J30" s="488"/>
      <c r="K30" s="488"/>
      <c r="L30" s="488"/>
      <c r="M30" s="488"/>
      <c r="N30" s="488"/>
      <c r="O30" s="488"/>
      <c r="P30" s="488"/>
      <c r="Q30" s="488"/>
      <c r="R30" s="488"/>
      <c r="S30" s="488"/>
      <c r="T30" s="488"/>
      <c r="U30" s="488"/>
      <c r="V30" s="488"/>
      <c r="W30" s="488"/>
      <c r="X30" s="488"/>
      <c r="Y30" s="488"/>
      <c r="Z30" s="488"/>
      <c r="AA30" s="488"/>
      <c r="AB30" s="488"/>
      <c r="AC30" s="488"/>
      <c r="AD30" s="488"/>
      <c r="AE30" s="488"/>
      <c r="AF30" s="488"/>
      <c r="AG30" s="488"/>
      <c r="AH30" s="488"/>
      <c r="AI30" s="488"/>
      <c r="AJ30" s="489"/>
      <c r="AK30" s="234"/>
      <c r="AL30" s="233"/>
      <c r="AM30" s="105"/>
    </row>
    <row r="31" spans="1:39" ht="14.25" customHeight="1">
      <c r="A31" s="105"/>
      <c r="B31" s="105"/>
      <c r="C31" s="109"/>
      <c r="D31" s="465"/>
      <c r="E31" s="466"/>
      <c r="F31" s="466"/>
      <c r="G31" s="467"/>
      <c r="H31" s="487"/>
      <c r="I31" s="488"/>
      <c r="J31" s="488"/>
      <c r="K31" s="488"/>
      <c r="L31" s="488"/>
      <c r="M31" s="488"/>
      <c r="N31" s="488"/>
      <c r="O31" s="488"/>
      <c r="P31" s="488"/>
      <c r="Q31" s="488"/>
      <c r="R31" s="488"/>
      <c r="S31" s="488"/>
      <c r="T31" s="488"/>
      <c r="U31" s="488"/>
      <c r="V31" s="488"/>
      <c r="W31" s="488"/>
      <c r="X31" s="488"/>
      <c r="Y31" s="488"/>
      <c r="Z31" s="488"/>
      <c r="AA31" s="488"/>
      <c r="AB31" s="488"/>
      <c r="AC31" s="488"/>
      <c r="AD31" s="488"/>
      <c r="AE31" s="488"/>
      <c r="AF31" s="488"/>
      <c r="AG31" s="488"/>
      <c r="AH31" s="488"/>
      <c r="AI31" s="488"/>
      <c r="AJ31" s="489"/>
      <c r="AK31" s="234"/>
      <c r="AL31" s="233"/>
      <c r="AM31" s="105"/>
    </row>
    <row r="32" spans="1:39" ht="14.25" customHeight="1">
      <c r="A32" s="105"/>
      <c r="B32" s="105"/>
      <c r="C32" s="109"/>
      <c r="D32" s="465"/>
      <c r="E32" s="466"/>
      <c r="F32" s="466"/>
      <c r="G32" s="467"/>
      <c r="H32" s="487"/>
      <c r="I32" s="488"/>
      <c r="J32" s="488"/>
      <c r="K32" s="488"/>
      <c r="L32" s="488"/>
      <c r="M32" s="488"/>
      <c r="N32" s="488"/>
      <c r="O32" s="488"/>
      <c r="P32" s="488"/>
      <c r="Q32" s="488"/>
      <c r="R32" s="488"/>
      <c r="S32" s="488"/>
      <c r="T32" s="488"/>
      <c r="U32" s="488"/>
      <c r="V32" s="488"/>
      <c r="W32" s="488"/>
      <c r="X32" s="488"/>
      <c r="Y32" s="488"/>
      <c r="Z32" s="488"/>
      <c r="AA32" s="488"/>
      <c r="AB32" s="488"/>
      <c r="AC32" s="488"/>
      <c r="AD32" s="488"/>
      <c r="AE32" s="488"/>
      <c r="AF32" s="488"/>
      <c r="AG32" s="488"/>
      <c r="AH32" s="488"/>
      <c r="AI32" s="488"/>
      <c r="AJ32" s="489"/>
      <c r="AK32" s="234"/>
      <c r="AL32" s="233"/>
      <c r="AM32" s="105"/>
    </row>
    <row r="33" spans="1:39" ht="14.25" customHeight="1">
      <c r="A33" s="105"/>
      <c r="B33" s="105"/>
      <c r="C33" s="109"/>
      <c r="D33" s="465"/>
      <c r="E33" s="466"/>
      <c r="F33" s="466"/>
      <c r="G33" s="467"/>
      <c r="H33" s="487"/>
      <c r="I33" s="488"/>
      <c r="J33" s="488"/>
      <c r="K33" s="488"/>
      <c r="L33" s="488"/>
      <c r="M33" s="488"/>
      <c r="N33" s="488"/>
      <c r="O33" s="488"/>
      <c r="P33" s="488"/>
      <c r="Q33" s="488"/>
      <c r="R33" s="488"/>
      <c r="S33" s="488"/>
      <c r="T33" s="488"/>
      <c r="U33" s="488"/>
      <c r="V33" s="488"/>
      <c r="W33" s="488"/>
      <c r="X33" s="488"/>
      <c r="Y33" s="488"/>
      <c r="Z33" s="488"/>
      <c r="AA33" s="488"/>
      <c r="AB33" s="488"/>
      <c r="AC33" s="488"/>
      <c r="AD33" s="488"/>
      <c r="AE33" s="488"/>
      <c r="AF33" s="488"/>
      <c r="AG33" s="488"/>
      <c r="AH33" s="488"/>
      <c r="AI33" s="488"/>
      <c r="AJ33" s="489"/>
      <c r="AK33" s="234"/>
      <c r="AL33" s="233"/>
      <c r="AM33" s="105"/>
    </row>
    <row r="34" spans="1:39" ht="14.25" customHeight="1">
      <c r="A34" s="105"/>
      <c r="B34" s="105"/>
      <c r="C34" s="109"/>
      <c r="D34" s="465"/>
      <c r="E34" s="466"/>
      <c r="F34" s="466"/>
      <c r="G34" s="467"/>
      <c r="H34" s="487"/>
      <c r="I34" s="488"/>
      <c r="J34" s="488"/>
      <c r="K34" s="488"/>
      <c r="L34" s="488"/>
      <c r="M34" s="488"/>
      <c r="N34" s="488"/>
      <c r="O34" s="488"/>
      <c r="P34" s="488"/>
      <c r="Q34" s="488"/>
      <c r="R34" s="488"/>
      <c r="S34" s="488"/>
      <c r="T34" s="488"/>
      <c r="U34" s="488"/>
      <c r="V34" s="488"/>
      <c r="W34" s="488"/>
      <c r="X34" s="488"/>
      <c r="Y34" s="488"/>
      <c r="Z34" s="488"/>
      <c r="AA34" s="488"/>
      <c r="AB34" s="488"/>
      <c r="AC34" s="488"/>
      <c r="AD34" s="488"/>
      <c r="AE34" s="488"/>
      <c r="AF34" s="488"/>
      <c r="AG34" s="488"/>
      <c r="AH34" s="488"/>
      <c r="AI34" s="488"/>
      <c r="AJ34" s="489"/>
      <c r="AK34" s="234"/>
      <c r="AL34" s="233"/>
      <c r="AM34" s="105"/>
    </row>
    <row r="35" spans="1:39" ht="14.25" customHeight="1">
      <c r="A35" s="105"/>
      <c r="B35" s="105"/>
      <c r="C35" s="109"/>
      <c r="D35" s="468"/>
      <c r="E35" s="469"/>
      <c r="F35" s="469"/>
      <c r="G35" s="470"/>
      <c r="H35" s="490"/>
      <c r="I35" s="491"/>
      <c r="J35" s="491"/>
      <c r="K35" s="491"/>
      <c r="L35" s="491"/>
      <c r="M35" s="491"/>
      <c r="N35" s="491"/>
      <c r="O35" s="491"/>
      <c r="P35" s="491"/>
      <c r="Q35" s="491"/>
      <c r="R35" s="491"/>
      <c r="S35" s="491"/>
      <c r="T35" s="491"/>
      <c r="U35" s="491"/>
      <c r="V35" s="491"/>
      <c r="W35" s="491"/>
      <c r="X35" s="491"/>
      <c r="Y35" s="491"/>
      <c r="Z35" s="491"/>
      <c r="AA35" s="491"/>
      <c r="AB35" s="491"/>
      <c r="AC35" s="491"/>
      <c r="AD35" s="491"/>
      <c r="AE35" s="491"/>
      <c r="AF35" s="491"/>
      <c r="AG35" s="491"/>
      <c r="AH35" s="491"/>
      <c r="AI35" s="491"/>
      <c r="AJ35" s="492"/>
      <c r="AK35" s="234"/>
      <c r="AL35" s="233"/>
      <c r="AM35" s="105"/>
    </row>
    <row r="36" spans="1:39" ht="14.25" customHeight="1">
      <c r="A36" s="105"/>
      <c r="B36" s="105"/>
      <c r="C36" s="109"/>
      <c r="D36" s="695" t="s">
        <v>223</v>
      </c>
      <c r="E36" s="696"/>
      <c r="F36" s="696"/>
      <c r="G36" s="697"/>
      <c r="H36" s="232"/>
      <c r="I36" s="233"/>
      <c r="J36" s="233"/>
      <c r="K36" s="233"/>
      <c r="L36" s="233"/>
      <c r="M36" s="233"/>
      <c r="N36" s="233"/>
      <c r="O36" s="233"/>
      <c r="P36" s="233"/>
      <c r="Q36" s="233"/>
      <c r="R36" s="233"/>
      <c r="S36" s="233"/>
      <c r="T36" s="233"/>
      <c r="U36" s="233"/>
      <c r="V36" s="233"/>
      <c r="W36" s="233"/>
      <c r="X36" s="233"/>
      <c r="Y36" s="233"/>
      <c r="Z36" s="233"/>
      <c r="AA36" s="233"/>
      <c r="AB36" s="233"/>
      <c r="AC36" s="233"/>
      <c r="AD36" s="233"/>
      <c r="AE36" s="233"/>
      <c r="AF36" s="233"/>
      <c r="AG36" s="233"/>
      <c r="AH36" s="233"/>
      <c r="AI36" s="233"/>
      <c r="AJ36" s="234"/>
      <c r="AK36" s="234"/>
      <c r="AL36" s="233"/>
      <c r="AM36" s="105"/>
    </row>
    <row r="37" spans="1:39" ht="14.25" customHeight="1">
      <c r="A37" s="105"/>
      <c r="B37" s="105"/>
      <c r="C37" s="109"/>
      <c r="D37" s="698"/>
      <c r="E37" s="699"/>
      <c r="F37" s="699"/>
      <c r="G37" s="700"/>
      <c r="H37" s="232"/>
      <c r="I37" s="238" t="s">
        <v>224</v>
      </c>
      <c r="J37" s="238"/>
      <c r="K37" s="238"/>
      <c r="L37" s="238"/>
      <c r="M37" s="238"/>
      <c r="N37" s="246"/>
      <c r="O37" s="246"/>
      <c r="P37" s="238" t="s">
        <v>225</v>
      </c>
      <c r="Q37" s="238" t="s">
        <v>154</v>
      </c>
      <c r="R37" s="238"/>
      <c r="S37" s="238"/>
      <c r="T37" s="238"/>
      <c r="U37" s="246"/>
      <c r="V37" s="238"/>
      <c r="W37" s="238"/>
      <c r="X37" s="238"/>
      <c r="Y37" s="238"/>
      <c r="Z37" s="238"/>
      <c r="AA37" s="238"/>
      <c r="AB37" s="238"/>
      <c r="AC37" s="238"/>
      <c r="AD37" s="238"/>
      <c r="AE37" s="238"/>
      <c r="AF37" s="238"/>
      <c r="AG37" s="233"/>
      <c r="AH37" s="233"/>
      <c r="AI37" s="233"/>
      <c r="AJ37" s="234"/>
      <c r="AK37" s="234"/>
      <c r="AL37" s="233"/>
      <c r="AM37" s="105"/>
    </row>
    <row r="38" spans="1:39" ht="14.25" customHeight="1">
      <c r="A38" s="105"/>
      <c r="B38" s="105"/>
      <c r="C38" s="109"/>
      <c r="D38" s="698"/>
      <c r="E38" s="699"/>
      <c r="F38" s="699"/>
      <c r="G38" s="700"/>
      <c r="H38" s="232"/>
      <c r="I38" s="233"/>
      <c r="J38" s="233"/>
      <c r="K38" s="233"/>
      <c r="L38" s="233"/>
      <c r="M38" s="233"/>
      <c r="N38" s="233"/>
      <c r="O38" s="233"/>
      <c r="P38" s="233"/>
      <c r="Q38" s="233"/>
      <c r="R38" s="233"/>
      <c r="S38" s="233"/>
      <c r="T38" s="233"/>
      <c r="U38" s="233"/>
      <c r="V38" s="233"/>
      <c r="W38" s="233"/>
      <c r="X38" s="233"/>
      <c r="Y38" s="233"/>
      <c r="Z38" s="233"/>
      <c r="AA38" s="233"/>
      <c r="AB38" s="233"/>
      <c r="AC38" s="233"/>
      <c r="AD38" s="233"/>
      <c r="AE38" s="233"/>
      <c r="AF38" s="233"/>
      <c r="AG38" s="233"/>
      <c r="AH38" s="233"/>
      <c r="AI38" s="233"/>
      <c r="AJ38" s="234"/>
      <c r="AK38" s="234"/>
      <c r="AL38" s="233"/>
      <c r="AM38" s="105"/>
    </row>
    <row r="39" spans="1:39" ht="14.25" customHeight="1">
      <c r="A39" s="105"/>
      <c r="B39" s="105"/>
      <c r="C39" s="109"/>
      <c r="D39" s="698"/>
      <c r="E39" s="699"/>
      <c r="F39" s="699"/>
      <c r="G39" s="700"/>
      <c r="H39" s="232"/>
      <c r="I39" s="246" t="s">
        <v>128</v>
      </c>
      <c r="J39" s="105"/>
      <c r="K39" s="105"/>
      <c r="L39" s="112"/>
      <c r="M39" s="238" t="s">
        <v>152</v>
      </c>
      <c r="N39" s="238"/>
      <c r="O39" s="246"/>
      <c r="P39" s="238" t="s">
        <v>226</v>
      </c>
      <c r="Q39" s="238"/>
      <c r="R39" s="246"/>
      <c r="S39" s="238" t="s">
        <v>155</v>
      </c>
      <c r="T39" s="233"/>
      <c r="U39" s="105"/>
      <c r="V39" s="112"/>
      <c r="W39" s="112"/>
      <c r="X39" s="112"/>
      <c r="Y39" s="112"/>
      <c r="Z39" s="112"/>
      <c r="AA39" s="112"/>
      <c r="AB39" s="112"/>
      <c r="AC39" s="112"/>
      <c r="AD39" s="112"/>
      <c r="AE39" s="112"/>
      <c r="AF39" s="105"/>
      <c r="AG39" s="105"/>
      <c r="AH39" s="105"/>
      <c r="AI39" s="105"/>
      <c r="AJ39" s="234"/>
      <c r="AK39" s="234"/>
      <c r="AL39" s="233"/>
      <c r="AM39" s="105"/>
    </row>
    <row r="40" spans="1:39" ht="14.25" customHeight="1">
      <c r="A40" s="105"/>
      <c r="B40" s="105"/>
      <c r="C40" s="109"/>
      <c r="D40" s="701"/>
      <c r="E40" s="702"/>
      <c r="F40" s="702"/>
      <c r="G40" s="703"/>
      <c r="H40" s="235"/>
      <c r="I40" s="236"/>
      <c r="J40" s="236"/>
      <c r="K40" s="236"/>
      <c r="L40" s="236"/>
      <c r="M40" s="236"/>
      <c r="N40" s="236"/>
      <c r="O40" s="236"/>
      <c r="P40" s="236"/>
      <c r="Q40" s="236"/>
      <c r="R40" s="236"/>
      <c r="S40" s="236"/>
      <c r="T40" s="236"/>
      <c r="U40" s="236"/>
      <c r="V40" s="236"/>
      <c r="W40" s="236"/>
      <c r="X40" s="236"/>
      <c r="Y40" s="236"/>
      <c r="Z40" s="236"/>
      <c r="AA40" s="236"/>
      <c r="AB40" s="236"/>
      <c r="AC40" s="236"/>
      <c r="AD40" s="236"/>
      <c r="AE40" s="236"/>
      <c r="AF40" s="236"/>
      <c r="AG40" s="236"/>
      <c r="AH40" s="236"/>
      <c r="AI40" s="236"/>
      <c r="AJ40" s="237"/>
      <c r="AK40" s="234"/>
      <c r="AL40" s="233"/>
      <c r="AM40" s="105"/>
    </row>
    <row r="41" spans="1:39" ht="14.25" customHeight="1">
      <c r="A41" s="105"/>
      <c r="B41" s="105"/>
      <c r="C41" s="109"/>
      <c r="D41" s="695" t="s">
        <v>216</v>
      </c>
      <c r="E41" s="696"/>
      <c r="F41" s="696"/>
      <c r="G41" s="697"/>
      <c r="H41" s="471"/>
      <c r="I41" s="471"/>
      <c r="J41" s="471"/>
      <c r="K41" s="471"/>
      <c r="L41" s="471"/>
      <c r="M41" s="471"/>
      <c r="N41" s="471"/>
      <c r="O41" s="471"/>
      <c r="P41" s="471"/>
      <c r="Q41" s="471"/>
      <c r="R41" s="471"/>
      <c r="S41" s="471"/>
      <c r="T41" s="471"/>
      <c r="U41" s="471"/>
      <c r="V41" s="471"/>
      <c r="W41" s="471"/>
      <c r="X41" s="471"/>
      <c r="Y41" s="471"/>
      <c r="Z41" s="471"/>
      <c r="AA41" s="471"/>
      <c r="AB41" s="471"/>
      <c r="AC41" s="471"/>
      <c r="AD41" s="471"/>
      <c r="AE41" s="471"/>
      <c r="AF41" s="471"/>
      <c r="AG41" s="471"/>
      <c r="AH41" s="471"/>
      <c r="AI41" s="471"/>
      <c r="AJ41" s="471"/>
      <c r="AK41" s="234"/>
      <c r="AL41" s="233"/>
      <c r="AM41" s="105"/>
    </row>
    <row r="42" spans="1:39" ht="14.25" customHeight="1">
      <c r="A42" s="105"/>
      <c r="B42" s="105"/>
      <c r="C42" s="109"/>
      <c r="D42" s="698"/>
      <c r="E42" s="699"/>
      <c r="F42" s="699"/>
      <c r="G42" s="700"/>
      <c r="H42" s="471"/>
      <c r="I42" s="471"/>
      <c r="J42" s="471"/>
      <c r="K42" s="471"/>
      <c r="L42" s="471"/>
      <c r="M42" s="471"/>
      <c r="N42" s="471"/>
      <c r="O42" s="471"/>
      <c r="P42" s="471"/>
      <c r="Q42" s="471"/>
      <c r="R42" s="471"/>
      <c r="S42" s="471"/>
      <c r="T42" s="471"/>
      <c r="U42" s="471"/>
      <c r="V42" s="471"/>
      <c r="W42" s="471"/>
      <c r="X42" s="471"/>
      <c r="Y42" s="471"/>
      <c r="Z42" s="471"/>
      <c r="AA42" s="471"/>
      <c r="AB42" s="471"/>
      <c r="AC42" s="471"/>
      <c r="AD42" s="471"/>
      <c r="AE42" s="471"/>
      <c r="AF42" s="471"/>
      <c r="AG42" s="471"/>
      <c r="AH42" s="471"/>
      <c r="AI42" s="471"/>
      <c r="AJ42" s="471"/>
      <c r="AK42" s="234"/>
      <c r="AL42" s="233"/>
      <c r="AM42" s="105"/>
    </row>
    <row r="43" spans="1:39" ht="14.25" customHeight="1">
      <c r="A43" s="105"/>
      <c r="B43" s="105"/>
      <c r="C43" s="109"/>
      <c r="D43" s="701"/>
      <c r="E43" s="702"/>
      <c r="F43" s="702"/>
      <c r="G43" s="703"/>
      <c r="H43" s="471"/>
      <c r="I43" s="471"/>
      <c r="J43" s="471"/>
      <c r="K43" s="471"/>
      <c r="L43" s="471"/>
      <c r="M43" s="471"/>
      <c r="N43" s="471"/>
      <c r="O43" s="471"/>
      <c r="P43" s="471"/>
      <c r="Q43" s="471"/>
      <c r="R43" s="471"/>
      <c r="S43" s="471"/>
      <c r="T43" s="471"/>
      <c r="U43" s="471"/>
      <c r="V43" s="471"/>
      <c r="W43" s="471"/>
      <c r="X43" s="471"/>
      <c r="Y43" s="471"/>
      <c r="Z43" s="471"/>
      <c r="AA43" s="471"/>
      <c r="AB43" s="471"/>
      <c r="AC43" s="471"/>
      <c r="AD43" s="471"/>
      <c r="AE43" s="471"/>
      <c r="AF43" s="471"/>
      <c r="AG43" s="471"/>
      <c r="AH43" s="471"/>
      <c r="AI43" s="471"/>
      <c r="AJ43" s="471"/>
      <c r="AK43" s="234"/>
      <c r="AL43" s="233"/>
      <c r="AM43" s="105"/>
    </row>
    <row r="44" spans="1:39" ht="14.25" customHeight="1">
      <c r="A44" s="105"/>
      <c r="B44" s="105"/>
      <c r="C44" s="109"/>
      <c r="D44" s="125" t="s">
        <v>217</v>
      </c>
      <c r="E44" s="244"/>
      <c r="F44" s="127"/>
      <c r="G44" s="127"/>
      <c r="H44" s="105"/>
      <c r="I44" s="105"/>
      <c r="J44" s="105"/>
      <c r="K44" s="105"/>
      <c r="L44" s="105"/>
      <c r="M44" s="105"/>
      <c r="N44" s="105"/>
      <c r="O44" s="128"/>
      <c r="P44" s="105"/>
      <c r="Q44" s="105"/>
      <c r="R44" s="105"/>
      <c r="S44" s="239"/>
      <c r="T44" s="127"/>
      <c r="U44" s="127"/>
      <c r="V44" s="127"/>
      <c r="W44" s="127"/>
      <c r="X44" s="127"/>
      <c r="Y44" s="127"/>
      <c r="Z44" s="127"/>
      <c r="AA44" s="127"/>
      <c r="AB44" s="127"/>
      <c r="AC44" s="105"/>
      <c r="AD44" s="105"/>
      <c r="AE44" s="105"/>
      <c r="AF44" s="105"/>
      <c r="AG44" s="105"/>
      <c r="AH44" s="105"/>
      <c r="AI44" s="105"/>
      <c r="AJ44" s="105"/>
      <c r="AK44" s="110"/>
      <c r="AL44" s="105"/>
      <c r="AM44" s="105"/>
    </row>
    <row r="45" spans="1:39" ht="14.25" customHeight="1">
      <c r="A45" s="105"/>
      <c r="B45" s="105"/>
      <c r="C45" s="109"/>
      <c r="D45" s="125" t="s">
        <v>227</v>
      </c>
      <c r="E45" s="244"/>
      <c r="F45" s="127"/>
      <c r="G45" s="127"/>
      <c r="H45" s="105"/>
      <c r="I45" s="105"/>
      <c r="J45" s="105"/>
      <c r="K45" s="105"/>
      <c r="L45" s="105"/>
      <c r="M45" s="105"/>
      <c r="N45" s="105"/>
      <c r="O45" s="128"/>
      <c r="P45" s="105"/>
      <c r="Q45" s="105"/>
      <c r="R45" s="105"/>
      <c r="S45" s="239"/>
      <c r="T45" s="127"/>
      <c r="U45" s="127"/>
      <c r="V45" s="127"/>
      <c r="W45" s="127"/>
      <c r="X45" s="127"/>
      <c r="Y45" s="127"/>
      <c r="Z45" s="127"/>
      <c r="AA45" s="127"/>
      <c r="AB45" s="127"/>
      <c r="AC45" s="105"/>
      <c r="AD45" s="105"/>
      <c r="AE45" s="105"/>
      <c r="AF45" s="105"/>
      <c r="AG45" s="105"/>
      <c r="AH45" s="105"/>
      <c r="AI45" s="105"/>
      <c r="AJ45" s="105"/>
      <c r="AK45" s="110"/>
      <c r="AL45" s="105"/>
      <c r="AM45" s="105"/>
    </row>
    <row r="46" spans="1:39" ht="14.25" customHeight="1">
      <c r="A46" s="105"/>
      <c r="B46" s="105"/>
      <c r="C46" s="109"/>
      <c r="D46" s="169"/>
      <c r="E46" s="169"/>
      <c r="F46" s="169"/>
      <c r="G46" s="169"/>
      <c r="H46" s="169"/>
      <c r="I46" s="169"/>
      <c r="J46" s="169"/>
      <c r="K46" s="169"/>
      <c r="L46" s="169"/>
      <c r="M46" s="169"/>
      <c r="N46" s="169"/>
      <c r="O46" s="169"/>
      <c r="P46" s="244"/>
      <c r="Q46" s="244"/>
      <c r="R46" s="244"/>
      <c r="S46" s="233"/>
      <c r="T46" s="244"/>
      <c r="U46" s="244"/>
      <c r="V46" s="244"/>
      <c r="W46" s="244"/>
      <c r="X46" s="244"/>
      <c r="Y46" s="244"/>
      <c r="Z46" s="244"/>
      <c r="AA46" s="244"/>
      <c r="AB46" s="244"/>
      <c r="AC46" s="244"/>
      <c r="AD46" s="244"/>
      <c r="AE46" s="244"/>
      <c r="AF46" s="244"/>
      <c r="AG46" s="244"/>
      <c r="AH46" s="244"/>
      <c r="AI46" s="244"/>
      <c r="AJ46" s="244"/>
      <c r="AK46" s="229"/>
      <c r="AL46" s="228"/>
      <c r="AM46" s="105"/>
    </row>
    <row r="47" spans="1:39" ht="14.25" customHeight="1">
      <c r="A47" s="105"/>
      <c r="B47" s="105"/>
      <c r="C47" s="109"/>
      <c r="D47" s="134" t="s">
        <v>218</v>
      </c>
      <c r="E47" s="243"/>
      <c r="F47" s="136"/>
      <c r="G47" s="136"/>
      <c r="H47" s="137"/>
      <c r="I47" s="137"/>
      <c r="J47" s="137"/>
      <c r="K47" s="137"/>
      <c r="L47" s="137"/>
      <c r="M47" s="137"/>
      <c r="N47" s="137"/>
      <c r="O47" s="138"/>
      <c r="P47" s="137"/>
      <c r="Q47" s="137"/>
      <c r="R47" s="137"/>
      <c r="S47" s="243"/>
      <c r="T47" s="136"/>
      <c r="U47" s="136"/>
      <c r="V47" s="136"/>
      <c r="W47" s="136"/>
      <c r="X47" s="136"/>
      <c r="Y47" s="136"/>
      <c r="Z47" s="136"/>
      <c r="AA47" s="136"/>
      <c r="AB47" s="136"/>
      <c r="AC47" s="137"/>
      <c r="AD47" s="137"/>
      <c r="AE47" s="137"/>
      <c r="AF47" s="137"/>
      <c r="AG47" s="137"/>
      <c r="AH47" s="137"/>
      <c r="AI47" s="137"/>
      <c r="AJ47" s="137"/>
      <c r="AK47" s="110"/>
      <c r="AL47" s="105"/>
      <c r="AM47" s="105"/>
    </row>
    <row r="48" spans="1:39" ht="14.25" customHeight="1">
      <c r="A48" s="105"/>
      <c r="B48" s="105"/>
      <c r="C48" s="109"/>
      <c r="D48" s="511" t="s">
        <v>139</v>
      </c>
      <c r="E48" s="511"/>
      <c r="F48" s="511"/>
      <c r="G48" s="511"/>
      <c r="H48" s="512" t="s">
        <v>219</v>
      </c>
      <c r="I48" s="513"/>
      <c r="J48" s="513"/>
      <c r="K48" s="513"/>
      <c r="L48" s="513"/>
      <c r="M48" s="513"/>
      <c r="N48" s="513"/>
      <c r="O48" s="513"/>
      <c r="P48" s="513"/>
      <c r="Q48" s="513"/>
      <c r="R48" s="513"/>
      <c r="S48" s="513"/>
      <c r="T48" s="513"/>
      <c r="U48" s="513"/>
      <c r="V48" s="513"/>
      <c r="W48" s="514"/>
      <c r="X48" s="521" t="s">
        <v>140</v>
      </c>
      <c r="Y48" s="522"/>
      <c r="Z48" s="522"/>
      <c r="AA48" s="522"/>
      <c r="AB48" s="522"/>
      <c r="AC48" s="523"/>
      <c r="AD48" s="453"/>
      <c r="AE48" s="454"/>
      <c r="AF48" s="454"/>
      <c r="AG48" s="454"/>
      <c r="AH48" s="454"/>
      <c r="AI48" s="454"/>
      <c r="AJ48" s="455"/>
      <c r="AK48" s="110"/>
      <c r="AL48" s="105"/>
      <c r="AM48" s="105"/>
    </row>
    <row r="49" spans="1:39" ht="14.25" customHeight="1">
      <c r="A49" s="105"/>
      <c r="B49" s="105"/>
      <c r="C49" s="109"/>
      <c r="D49" s="511"/>
      <c r="E49" s="511"/>
      <c r="F49" s="511"/>
      <c r="G49" s="511"/>
      <c r="H49" s="515"/>
      <c r="I49" s="516"/>
      <c r="J49" s="516"/>
      <c r="K49" s="516"/>
      <c r="L49" s="516"/>
      <c r="M49" s="516"/>
      <c r="N49" s="516"/>
      <c r="O49" s="516"/>
      <c r="P49" s="516"/>
      <c r="Q49" s="516"/>
      <c r="R49" s="516"/>
      <c r="S49" s="516"/>
      <c r="T49" s="516"/>
      <c r="U49" s="516"/>
      <c r="V49" s="516"/>
      <c r="W49" s="517"/>
      <c r="X49" s="524"/>
      <c r="Y49" s="525"/>
      <c r="Z49" s="525"/>
      <c r="AA49" s="525"/>
      <c r="AB49" s="525"/>
      <c r="AC49" s="526"/>
      <c r="AD49" s="456"/>
      <c r="AE49" s="457"/>
      <c r="AF49" s="457"/>
      <c r="AG49" s="457"/>
      <c r="AH49" s="457"/>
      <c r="AI49" s="457"/>
      <c r="AJ49" s="458"/>
      <c r="AK49" s="110"/>
      <c r="AL49" s="105"/>
      <c r="AM49" s="105"/>
    </row>
    <row r="50" spans="1:39" ht="14.25" customHeight="1">
      <c r="A50" s="105"/>
      <c r="B50" s="105"/>
      <c r="C50" s="109"/>
      <c r="D50" s="511"/>
      <c r="E50" s="511"/>
      <c r="F50" s="511"/>
      <c r="G50" s="511"/>
      <c r="H50" s="515"/>
      <c r="I50" s="516"/>
      <c r="J50" s="516"/>
      <c r="K50" s="516"/>
      <c r="L50" s="516"/>
      <c r="M50" s="516"/>
      <c r="N50" s="516"/>
      <c r="O50" s="516"/>
      <c r="P50" s="516"/>
      <c r="Q50" s="516"/>
      <c r="R50" s="516"/>
      <c r="S50" s="516"/>
      <c r="T50" s="516"/>
      <c r="U50" s="516"/>
      <c r="V50" s="516"/>
      <c r="W50" s="517"/>
      <c r="X50" s="524"/>
      <c r="Y50" s="525"/>
      <c r="Z50" s="525"/>
      <c r="AA50" s="525"/>
      <c r="AB50" s="525"/>
      <c r="AC50" s="526"/>
      <c r="AD50" s="456"/>
      <c r="AE50" s="457"/>
      <c r="AF50" s="457"/>
      <c r="AG50" s="457"/>
      <c r="AH50" s="457"/>
      <c r="AI50" s="457"/>
      <c r="AJ50" s="458"/>
      <c r="AK50" s="110"/>
      <c r="AL50" s="105"/>
      <c r="AM50" s="105"/>
    </row>
    <row r="51" spans="1:39" ht="14.25" customHeight="1">
      <c r="A51" s="105"/>
      <c r="B51" s="105"/>
      <c r="C51" s="109"/>
      <c r="D51" s="511"/>
      <c r="E51" s="511"/>
      <c r="F51" s="511"/>
      <c r="G51" s="511"/>
      <c r="H51" s="518"/>
      <c r="I51" s="519"/>
      <c r="J51" s="519"/>
      <c r="K51" s="519"/>
      <c r="L51" s="519"/>
      <c r="M51" s="519"/>
      <c r="N51" s="519"/>
      <c r="O51" s="519"/>
      <c r="P51" s="519"/>
      <c r="Q51" s="519"/>
      <c r="R51" s="519"/>
      <c r="S51" s="519"/>
      <c r="T51" s="519"/>
      <c r="U51" s="519"/>
      <c r="V51" s="519"/>
      <c r="W51" s="520"/>
      <c r="X51" s="527"/>
      <c r="Y51" s="528"/>
      <c r="Z51" s="528"/>
      <c r="AA51" s="528"/>
      <c r="AB51" s="528"/>
      <c r="AC51" s="529"/>
      <c r="AD51" s="459"/>
      <c r="AE51" s="460"/>
      <c r="AF51" s="460"/>
      <c r="AG51" s="460"/>
      <c r="AH51" s="460"/>
      <c r="AI51" s="460"/>
      <c r="AJ51" s="461"/>
      <c r="AK51" s="110"/>
      <c r="AL51" s="105"/>
      <c r="AM51" s="105"/>
    </row>
    <row r="52" spans="1:39" ht="14.25" customHeight="1">
      <c r="A52" s="105"/>
      <c r="B52" s="105"/>
      <c r="C52" s="109"/>
      <c r="D52" s="511" t="s">
        <v>127</v>
      </c>
      <c r="E52" s="511"/>
      <c r="F52" s="511"/>
      <c r="G52" s="511"/>
      <c r="H52" s="453"/>
      <c r="I52" s="454"/>
      <c r="J52" s="454"/>
      <c r="K52" s="454"/>
      <c r="L52" s="454"/>
      <c r="M52" s="454"/>
      <c r="N52" s="454"/>
      <c r="O52" s="454"/>
      <c r="P52" s="454"/>
      <c r="Q52" s="454"/>
      <c r="R52" s="454"/>
      <c r="S52" s="454"/>
      <c r="T52" s="454"/>
      <c r="U52" s="454"/>
      <c r="V52" s="454"/>
      <c r="W52" s="454"/>
      <c r="X52" s="454"/>
      <c r="Y52" s="454"/>
      <c r="Z52" s="454"/>
      <c r="AA52" s="454"/>
      <c r="AB52" s="454"/>
      <c r="AC52" s="454"/>
      <c r="AD52" s="454"/>
      <c r="AE52" s="454"/>
      <c r="AF52" s="454"/>
      <c r="AG52" s="454"/>
      <c r="AH52" s="454"/>
      <c r="AI52" s="454"/>
      <c r="AJ52" s="455"/>
      <c r="AK52" s="229"/>
      <c r="AL52" s="228"/>
      <c r="AM52" s="105"/>
    </row>
    <row r="53" spans="1:39" ht="14.25" customHeight="1">
      <c r="A53" s="105"/>
      <c r="B53" s="105"/>
      <c r="C53" s="109"/>
      <c r="D53" s="511"/>
      <c r="E53" s="511"/>
      <c r="F53" s="511"/>
      <c r="G53" s="511"/>
      <c r="H53" s="456"/>
      <c r="I53" s="457"/>
      <c r="J53" s="457"/>
      <c r="K53" s="457"/>
      <c r="L53" s="457"/>
      <c r="M53" s="457"/>
      <c r="N53" s="457"/>
      <c r="O53" s="457"/>
      <c r="P53" s="457"/>
      <c r="Q53" s="457"/>
      <c r="R53" s="457"/>
      <c r="S53" s="457"/>
      <c r="T53" s="457"/>
      <c r="U53" s="457"/>
      <c r="V53" s="457"/>
      <c r="W53" s="457"/>
      <c r="X53" s="457"/>
      <c r="Y53" s="457"/>
      <c r="Z53" s="457"/>
      <c r="AA53" s="457"/>
      <c r="AB53" s="457"/>
      <c r="AC53" s="457"/>
      <c r="AD53" s="457"/>
      <c r="AE53" s="457"/>
      <c r="AF53" s="457"/>
      <c r="AG53" s="457"/>
      <c r="AH53" s="457"/>
      <c r="AI53" s="457"/>
      <c r="AJ53" s="458"/>
      <c r="AK53" s="229"/>
      <c r="AL53" s="228"/>
      <c r="AM53" s="105"/>
    </row>
    <row r="54" spans="1:39" ht="14.25" customHeight="1">
      <c r="A54" s="105"/>
      <c r="B54" s="105"/>
      <c r="C54" s="109"/>
      <c r="D54" s="511"/>
      <c r="E54" s="511"/>
      <c r="F54" s="511"/>
      <c r="G54" s="511"/>
      <c r="H54" s="456"/>
      <c r="I54" s="457"/>
      <c r="J54" s="457"/>
      <c r="K54" s="457"/>
      <c r="L54" s="457"/>
      <c r="M54" s="457"/>
      <c r="N54" s="457"/>
      <c r="O54" s="457"/>
      <c r="P54" s="457"/>
      <c r="Q54" s="457"/>
      <c r="R54" s="457"/>
      <c r="S54" s="457"/>
      <c r="T54" s="457"/>
      <c r="U54" s="457"/>
      <c r="V54" s="457"/>
      <c r="W54" s="457"/>
      <c r="X54" s="457"/>
      <c r="Y54" s="457"/>
      <c r="Z54" s="457"/>
      <c r="AA54" s="457"/>
      <c r="AB54" s="457"/>
      <c r="AC54" s="457"/>
      <c r="AD54" s="457"/>
      <c r="AE54" s="457"/>
      <c r="AF54" s="457"/>
      <c r="AG54" s="457"/>
      <c r="AH54" s="457"/>
      <c r="AI54" s="457"/>
      <c r="AJ54" s="458"/>
      <c r="AK54" s="229"/>
      <c r="AL54" s="228"/>
      <c r="AM54" s="105"/>
    </row>
    <row r="55" spans="1:39" ht="14.25" customHeight="1">
      <c r="A55" s="105"/>
      <c r="B55" s="105"/>
      <c r="C55" s="109"/>
      <c r="D55" s="511"/>
      <c r="E55" s="511"/>
      <c r="F55" s="511"/>
      <c r="G55" s="511"/>
      <c r="H55" s="459"/>
      <c r="I55" s="460"/>
      <c r="J55" s="460"/>
      <c r="K55" s="460"/>
      <c r="L55" s="460"/>
      <c r="M55" s="460"/>
      <c r="N55" s="460"/>
      <c r="O55" s="460"/>
      <c r="P55" s="460"/>
      <c r="Q55" s="460"/>
      <c r="R55" s="460"/>
      <c r="S55" s="460"/>
      <c r="T55" s="460"/>
      <c r="U55" s="460"/>
      <c r="V55" s="460"/>
      <c r="W55" s="460"/>
      <c r="X55" s="460"/>
      <c r="Y55" s="460"/>
      <c r="Z55" s="460"/>
      <c r="AA55" s="460"/>
      <c r="AB55" s="460"/>
      <c r="AC55" s="460"/>
      <c r="AD55" s="460"/>
      <c r="AE55" s="460"/>
      <c r="AF55" s="460"/>
      <c r="AG55" s="460"/>
      <c r="AH55" s="460"/>
      <c r="AI55" s="460"/>
      <c r="AJ55" s="461"/>
      <c r="AK55" s="229"/>
      <c r="AL55" s="228"/>
      <c r="AM55" s="105"/>
    </row>
    <row r="56" spans="1:39" ht="14.25" customHeight="1">
      <c r="A56" s="105"/>
      <c r="B56" s="105"/>
      <c r="C56" s="109"/>
      <c r="D56" s="462" t="s">
        <v>128</v>
      </c>
      <c r="E56" s="463"/>
      <c r="F56" s="463"/>
      <c r="G56" s="464"/>
      <c r="H56" s="484"/>
      <c r="I56" s="485"/>
      <c r="J56" s="485"/>
      <c r="K56" s="485"/>
      <c r="L56" s="485"/>
      <c r="M56" s="485"/>
      <c r="N56" s="485"/>
      <c r="O56" s="485"/>
      <c r="P56" s="485"/>
      <c r="Q56" s="485"/>
      <c r="R56" s="485"/>
      <c r="S56" s="485"/>
      <c r="T56" s="485"/>
      <c r="U56" s="485"/>
      <c r="V56" s="485"/>
      <c r="W56" s="485"/>
      <c r="X56" s="485"/>
      <c r="Y56" s="485"/>
      <c r="Z56" s="485"/>
      <c r="AA56" s="485"/>
      <c r="AB56" s="485"/>
      <c r="AC56" s="485"/>
      <c r="AD56" s="485"/>
      <c r="AE56" s="485"/>
      <c r="AF56" s="485"/>
      <c r="AG56" s="485"/>
      <c r="AH56" s="485"/>
      <c r="AI56" s="485"/>
      <c r="AJ56" s="486"/>
      <c r="AK56" s="234"/>
      <c r="AL56" s="233"/>
      <c r="AM56" s="105"/>
    </row>
    <row r="57" spans="1:39" ht="14.25" customHeight="1">
      <c r="A57" s="105"/>
      <c r="B57" s="105"/>
      <c r="C57" s="109"/>
      <c r="D57" s="465"/>
      <c r="E57" s="466"/>
      <c r="F57" s="466"/>
      <c r="G57" s="467"/>
      <c r="H57" s="487"/>
      <c r="I57" s="488"/>
      <c r="J57" s="488"/>
      <c r="K57" s="488"/>
      <c r="L57" s="488"/>
      <c r="M57" s="488"/>
      <c r="N57" s="488"/>
      <c r="O57" s="488"/>
      <c r="P57" s="488"/>
      <c r="Q57" s="488"/>
      <c r="R57" s="488"/>
      <c r="S57" s="488"/>
      <c r="T57" s="488"/>
      <c r="U57" s="488"/>
      <c r="V57" s="488"/>
      <c r="W57" s="488"/>
      <c r="X57" s="488"/>
      <c r="Y57" s="488"/>
      <c r="Z57" s="488"/>
      <c r="AA57" s="488"/>
      <c r="AB57" s="488"/>
      <c r="AC57" s="488"/>
      <c r="AD57" s="488"/>
      <c r="AE57" s="488"/>
      <c r="AF57" s="488"/>
      <c r="AG57" s="488"/>
      <c r="AH57" s="488"/>
      <c r="AI57" s="488"/>
      <c r="AJ57" s="489"/>
      <c r="AK57" s="234"/>
      <c r="AL57" s="233"/>
      <c r="AM57" s="105"/>
    </row>
    <row r="58" spans="1:39" ht="14.25" customHeight="1">
      <c r="A58" s="105"/>
      <c r="B58" s="105"/>
      <c r="C58" s="109"/>
      <c r="D58" s="468"/>
      <c r="E58" s="469"/>
      <c r="F58" s="469"/>
      <c r="G58" s="470"/>
      <c r="H58" s="490"/>
      <c r="I58" s="491"/>
      <c r="J58" s="491"/>
      <c r="K58" s="491"/>
      <c r="L58" s="491"/>
      <c r="M58" s="491"/>
      <c r="N58" s="491"/>
      <c r="O58" s="491"/>
      <c r="P58" s="491"/>
      <c r="Q58" s="491"/>
      <c r="R58" s="491"/>
      <c r="S58" s="491"/>
      <c r="T58" s="491"/>
      <c r="U58" s="491"/>
      <c r="V58" s="491"/>
      <c r="W58" s="491"/>
      <c r="X58" s="491"/>
      <c r="Y58" s="491"/>
      <c r="Z58" s="491"/>
      <c r="AA58" s="491"/>
      <c r="AB58" s="491"/>
      <c r="AC58" s="491"/>
      <c r="AD58" s="491"/>
      <c r="AE58" s="491"/>
      <c r="AF58" s="491"/>
      <c r="AG58" s="491"/>
      <c r="AH58" s="491"/>
      <c r="AI58" s="491"/>
      <c r="AJ58" s="492"/>
      <c r="AK58" s="234"/>
      <c r="AL58" s="233"/>
      <c r="AM58" s="105"/>
    </row>
    <row r="59" spans="1:39" ht="14.25" customHeight="1">
      <c r="A59" s="105"/>
      <c r="B59" s="105"/>
      <c r="C59" s="109"/>
      <c r="D59" s="230"/>
      <c r="E59" s="230"/>
      <c r="F59" s="230"/>
      <c r="G59" s="230"/>
      <c r="H59" s="233"/>
      <c r="I59" s="233"/>
      <c r="J59" s="233"/>
      <c r="K59" s="233"/>
      <c r="L59" s="233"/>
      <c r="M59" s="233"/>
      <c r="N59" s="233"/>
      <c r="O59" s="233"/>
      <c r="P59" s="233"/>
      <c r="Q59" s="233"/>
      <c r="R59" s="233"/>
      <c r="S59" s="233"/>
      <c r="T59" s="233"/>
      <c r="U59" s="233"/>
      <c r="V59" s="233"/>
      <c r="W59" s="233"/>
      <c r="X59" s="233"/>
      <c r="Y59" s="233"/>
      <c r="Z59" s="233"/>
      <c r="AA59" s="233"/>
      <c r="AB59" s="233"/>
      <c r="AC59" s="233"/>
      <c r="AD59" s="233"/>
      <c r="AE59" s="233"/>
      <c r="AF59" s="233"/>
      <c r="AG59" s="233"/>
      <c r="AH59" s="233"/>
      <c r="AI59" s="233"/>
      <c r="AJ59" s="233"/>
      <c r="AK59" s="234"/>
      <c r="AL59" s="233"/>
      <c r="AM59" s="105"/>
    </row>
    <row r="60" spans="1:39" ht="8.25" customHeight="1">
      <c r="A60" s="105"/>
      <c r="B60" s="105"/>
      <c r="C60" s="109"/>
      <c r="D60" s="247"/>
      <c r="E60" s="248"/>
      <c r="F60" s="248"/>
      <c r="G60" s="248"/>
      <c r="H60" s="248"/>
      <c r="I60" s="248"/>
      <c r="J60" s="248"/>
      <c r="K60" s="248"/>
      <c r="L60" s="248"/>
      <c r="M60" s="248"/>
      <c r="N60" s="248"/>
      <c r="O60" s="248"/>
      <c r="P60" s="248"/>
      <c r="Q60" s="248"/>
      <c r="R60" s="248"/>
      <c r="S60" s="248"/>
      <c r="T60" s="248"/>
      <c r="U60" s="248"/>
      <c r="V60" s="248"/>
      <c r="W60" s="248"/>
      <c r="X60" s="248"/>
      <c r="Y60" s="248"/>
      <c r="Z60" s="248"/>
      <c r="AA60" s="248"/>
      <c r="AB60" s="248"/>
      <c r="AC60" s="248"/>
      <c r="AD60" s="248"/>
      <c r="AE60" s="248"/>
      <c r="AF60" s="248"/>
      <c r="AG60" s="248"/>
      <c r="AH60" s="248"/>
      <c r="AI60" s="248"/>
      <c r="AJ60" s="248"/>
      <c r="AK60" s="142"/>
      <c r="AL60" s="231"/>
      <c r="AM60" s="105"/>
    </row>
    <row r="61" spans="1:39">
      <c r="C61" s="111"/>
      <c r="D61" s="141" t="s">
        <v>228</v>
      </c>
      <c r="E61" s="126" t="s">
        <v>141</v>
      </c>
      <c r="F61" s="230"/>
      <c r="G61" s="230"/>
      <c r="H61" s="233"/>
      <c r="I61" s="233"/>
      <c r="J61" s="233"/>
      <c r="K61" s="233"/>
      <c r="L61" s="233"/>
      <c r="M61" s="233"/>
      <c r="N61" s="233"/>
      <c r="O61" s="233"/>
      <c r="P61" s="233"/>
      <c r="Q61" s="233"/>
      <c r="R61" s="233"/>
      <c r="S61" s="233"/>
      <c r="T61" s="233"/>
      <c r="U61" s="233"/>
      <c r="V61" s="233"/>
      <c r="W61" s="233"/>
      <c r="X61" s="233"/>
      <c r="Y61" s="233"/>
      <c r="Z61" s="233"/>
      <c r="AA61" s="233"/>
      <c r="AB61" s="233"/>
      <c r="AC61" s="233"/>
      <c r="AD61" s="233"/>
      <c r="AE61" s="233"/>
      <c r="AF61" s="233"/>
      <c r="AG61" s="233"/>
      <c r="AH61" s="233"/>
      <c r="AI61" s="233"/>
      <c r="AJ61" s="233"/>
      <c r="AK61" s="144"/>
      <c r="AM61" s="105"/>
    </row>
    <row r="62" spans="1:39">
      <c r="A62" s="112"/>
      <c r="B62" s="112"/>
      <c r="C62" s="111"/>
      <c r="D62" s="493" t="s">
        <v>142</v>
      </c>
      <c r="E62" s="494"/>
      <c r="F62" s="494"/>
      <c r="G62" s="494"/>
      <c r="H62" s="494"/>
      <c r="I62" s="494"/>
      <c r="J62" s="494"/>
      <c r="K62" s="494"/>
      <c r="L62" s="494"/>
      <c r="M62" s="494"/>
      <c r="N62" s="494"/>
      <c r="O62" s="494"/>
      <c r="P62" s="494"/>
      <c r="Q62" s="494"/>
      <c r="R62" s="494"/>
      <c r="S62" s="494"/>
      <c r="T62" s="494"/>
      <c r="U62" s="494"/>
      <c r="V62" s="495"/>
      <c r="W62" s="496" t="s">
        <v>143</v>
      </c>
      <c r="X62" s="497"/>
      <c r="Y62" s="497"/>
      <c r="Z62" s="497"/>
      <c r="AA62" s="497"/>
      <c r="AB62" s="497"/>
      <c r="AC62" s="497"/>
      <c r="AD62" s="497"/>
      <c r="AE62" s="497"/>
      <c r="AF62" s="497"/>
      <c r="AG62" s="497"/>
      <c r="AH62" s="497"/>
      <c r="AI62" s="497"/>
      <c r="AJ62" s="498"/>
      <c r="AK62" s="144"/>
    </row>
    <row r="63" spans="1:39" ht="12" customHeight="1">
      <c r="A63" s="112"/>
      <c r="B63" s="112"/>
      <c r="C63" s="111"/>
      <c r="D63" s="499"/>
      <c r="E63" s="500"/>
      <c r="F63" s="500"/>
      <c r="G63" s="500"/>
      <c r="H63" s="500"/>
      <c r="I63" s="500"/>
      <c r="J63" s="500"/>
      <c r="K63" s="500"/>
      <c r="L63" s="500"/>
      <c r="M63" s="500"/>
      <c r="N63" s="500"/>
      <c r="O63" s="500"/>
      <c r="P63" s="500"/>
      <c r="Q63" s="500"/>
      <c r="R63" s="500"/>
      <c r="S63" s="500"/>
      <c r="T63" s="500"/>
      <c r="U63" s="500"/>
      <c r="V63" s="501"/>
      <c r="W63" s="505" t="s">
        <v>121</v>
      </c>
      <c r="X63" s="506"/>
      <c r="Y63" s="506"/>
      <c r="Z63" s="506"/>
      <c r="AA63" s="506"/>
      <c r="AB63" s="506"/>
      <c r="AC63" s="506"/>
      <c r="AD63" s="506"/>
      <c r="AE63" s="506"/>
      <c r="AF63" s="506"/>
      <c r="AG63" s="506"/>
      <c r="AH63" s="506"/>
      <c r="AI63" s="506"/>
      <c r="AJ63" s="507"/>
      <c r="AK63" s="144"/>
      <c r="AL63" s="112"/>
    </row>
    <row r="64" spans="1:39">
      <c r="C64" s="111"/>
      <c r="D64" s="502"/>
      <c r="E64" s="503"/>
      <c r="F64" s="503"/>
      <c r="G64" s="503"/>
      <c r="H64" s="503"/>
      <c r="I64" s="503"/>
      <c r="J64" s="503"/>
      <c r="K64" s="503"/>
      <c r="L64" s="503"/>
      <c r="M64" s="503"/>
      <c r="N64" s="503"/>
      <c r="O64" s="503"/>
      <c r="P64" s="503"/>
      <c r="Q64" s="503"/>
      <c r="R64" s="503"/>
      <c r="S64" s="503"/>
      <c r="T64" s="503"/>
      <c r="U64" s="503"/>
      <c r="V64" s="504"/>
      <c r="W64" s="508"/>
      <c r="X64" s="509"/>
      <c r="Y64" s="509"/>
      <c r="Z64" s="509"/>
      <c r="AA64" s="509"/>
      <c r="AB64" s="509"/>
      <c r="AC64" s="509"/>
      <c r="AD64" s="509"/>
      <c r="AE64" s="509"/>
      <c r="AF64" s="509"/>
      <c r="AG64" s="509"/>
      <c r="AH64" s="509"/>
      <c r="AI64" s="509"/>
      <c r="AJ64" s="510"/>
      <c r="AK64" s="144"/>
    </row>
    <row r="65" spans="1:38">
      <c r="C65" s="111"/>
      <c r="D65" s="249"/>
      <c r="E65" s="249"/>
      <c r="F65" s="249"/>
      <c r="G65" s="249"/>
      <c r="H65" s="249"/>
      <c r="I65" s="249"/>
      <c r="J65" s="249"/>
      <c r="K65" s="249"/>
      <c r="L65" s="249"/>
      <c r="M65" s="249"/>
      <c r="N65" s="249"/>
      <c r="O65" s="249"/>
      <c r="P65" s="249"/>
      <c r="Q65" s="249"/>
      <c r="R65" s="249"/>
      <c r="S65" s="249"/>
      <c r="T65" s="249"/>
      <c r="U65" s="249"/>
      <c r="V65" s="249"/>
      <c r="W65" s="250"/>
      <c r="X65" s="250"/>
      <c r="Y65" s="250"/>
      <c r="Z65" s="250"/>
      <c r="AA65" s="250"/>
      <c r="AB65" s="250"/>
      <c r="AC65" s="250"/>
      <c r="AD65" s="250"/>
      <c r="AE65" s="250"/>
      <c r="AF65" s="250"/>
      <c r="AG65" s="250"/>
      <c r="AH65" s="250"/>
      <c r="AI65" s="250"/>
      <c r="AJ65" s="250"/>
      <c r="AK65" s="144"/>
    </row>
    <row r="66" spans="1:38">
      <c r="A66" s="105"/>
      <c r="B66" s="105"/>
      <c r="C66" s="109"/>
      <c r="D66" s="125" t="s">
        <v>220</v>
      </c>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10"/>
      <c r="AL66" s="105"/>
    </row>
    <row r="67" spans="1:38" ht="24" customHeight="1">
      <c r="C67" s="111"/>
      <c r="D67" s="155" t="s">
        <v>221</v>
      </c>
      <c r="E67" s="112"/>
      <c r="F67" s="694" t="s">
        <v>229</v>
      </c>
      <c r="G67" s="694"/>
      <c r="H67" s="694"/>
      <c r="I67" s="694"/>
      <c r="J67" s="694"/>
      <c r="K67" s="694"/>
      <c r="L67" s="694"/>
      <c r="M67" s="694"/>
      <c r="N67" s="694"/>
      <c r="O67" s="694"/>
      <c r="P67" s="694"/>
      <c r="Q67" s="694"/>
      <c r="R67" s="694"/>
      <c r="S67" s="694"/>
      <c r="T67" s="694"/>
      <c r="U67" s="694"/>
      <c r="V67" s="694"/>
      <c r="W67" s="694"/>
      <c r="X67" s="694"/>
      <c r="Y67" s="694"/>
      <c r="Z67" s="694"/>
      <c r="AA67" s="694"/>
      <c r="AB67" s="694"/>
      <c r="AC67" s="694"/>
      <c r="AD67" s="694"/>
      <c r="AE67" s="694"/>
      <c r="AF67" s="694"/>
      <c r="AG67" s="694"/>
      <c r="AH67" s="694"/>
      <c r="AI67" s="694"/>
      <c r="AJ67" s="694"/>
      <c r="AK67" s="144"/>
    </row>
    <row r="68" spans="1:38">
      <c r="C68" s="145"/>
      <c r="D68" s="146"/>
      <c r="E68" s="146"/>
      <c r="F68" s="146"/>
      <c r="G68" s="146"/>
      <c r="H68" s="146"/>
      <c r="I68" s="146"/>
      <c r="J68" s="146"/>
      <c r="K68" s="146"/>
      <c r="L68" s="146"/>
      <c r="M68" s="146"/>
      <c r="N68" s="146"/>
      <c r="O68" s="146"/>
      <c r="P68" s="146"/>
      <c r="Q68" s="146"/>
      <c r="R68" s="146"/>
      <c r="S68" s="146"/>
      <c r="T68" s="146"/>
      <c r="U68" s="146"/>
      <c r="V68" s="146"/>
      <c r="W68" s="146"/>
      <c r="X68" s="146"/>
      <c r="Y68" s="146"/>
      <c r="Z68" s="146"/>
      <c r="AA68" s="146"/>
      <c r="AB68" s="146"/>
      <c r="AC68" s="146"/>
      <c r="AD68" s="146"/>
      <c r="AE68" s="146"/>
      <c r="AF68" s="146"/>
      <c r="AG68" s="146"/>
      <c r="AH68" s="146"/>
      <c r="AI68" s="146"/>
      <c r="AJ68" s="146"/>
      <c r="AK68" s="147"/>
    </row>
  </sheetData>
  <mergeCells count="32">
    <mergeCell ref="D5:AJ5"/>
    <mergeCell ref="D10:G13"/>
    <mergeCell ref="H10:O13"/>
    <mergeCell ref="P10:S13"/>
    <mergeCell ref="T10:AC13"/>
    <mergeCell ref="AD10:AF13"/>
    <mergeCell ref="AG10:AJ13"/>
    <mergeCell ref="H48:W51"/>
    <mergeCell ref="X48:AC51"/>
    <mergeCell ref="AD48:AJ51"/>
    <mergeCell ref="D14:G17"/>
    <mergeCell ref="H14:AJ17"/>
    <mergeCell ref="D18:G23"/>
    <mergeCell ref="H18:AJ23"/>
    <mergeCell ref="D24:G27"/>
    <mergeCell ref="H24:AJ27"/>
    <mergeCell ref="D63:V64"/>
    <mergeCell ref="W63:AJ64"/>
    <mergeCell ref="F67:AJ67"/>
    <mergeCell ref="AD9:AJ9"/>
    <mergeCell ref="D52:G55"/>
    <mergeCell ref="H52:AJ55"/>
    <mergeCell ref="D56:G58"/>
    <mergeCell ref="H56:AJ58"/>
    <mergeCell ref="D62:V62"/>
    <mergeCell ref="W62:AJ62"/>
    <mergeCell ref="D28:G35"/>
    <mergeCell ref="H28:AJ35"/>
    <mergeCell ref="D36:G40"/>
    <mergeCell ref="D41:G43"/>
    <mergeCell ref="H41:AJ43"/>
    <mergeCell ref="D48:G51"/>
  </mergeCells>
  <phoneticPr fontId="18"/>
  <pageMargins left="0.7" right="0.7" top="0.75" bottom="0.75" header="0.3" footer="0.3"/>
  <pageSetup paperSize="9" scale="72"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3:AM95"/>
  <sheetViews>
    <sheetView view="pageBreakPreview" zoomScale="60" zoomScaleNormal="100" workbookViewId="0">
      <selection activeCell="AQ25" sqref="AQ25"/>
    </sheetView>
  </sheetViews>
  <sheetFormatPr defaultColWidth="9" defaultRowHeight="12"/>
  <cols>
    <col min="1" max="39" width="2.58203125" style="104" customWidth="1"/>
    <col min="40" max="16384" width="9" style="104"/>
  </cols>
  <sheetData>
    <row r="3" spans="1:39">
      <c r="C3" s="164"/>
      <c r="D3" s="148"/>
      <c r="E3" s="148"/>
      <c r="F3" s="148"/>
      <c r="G3" s="148"/>
      <c r="H3" s="148"/>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65"/>
    </row>
    <row r="4" spans="1:39" ht="14.25" customHeight="1">
      <c r="A4" s="105"/>
      <c r="B4" s="105"/>
      <c r="C4" s="109"/>
      <c r="D4" s="105"/>
      <c r="E4" s="105"/>
      <c r="F4" s="105"/>
      <c r="G4" s="105"/>
      <c r="H4" s="105"/>
      <c r="I4" s="105"/>
      <c r="J4" s="572" t="s">
        <v>168</v>
      </c>
      <c r="K4" s="572"/>
      <c r="L4" s="572"/>
      <c r="M4" s="572"/>
      <c r="N4" s="572"/>
      <c r="O4" s="572"/>
      <c r="P4" s="572"/>
      <c r="Q4" s="572"/>
      <c r="R4" s="572"/>
      <c r="S4" s="572"/>
      <c r="T4" s="572"/>
      <c r="U4" s="572"/>
      <c r="V4" s="572"/>
      <c r="W4" s="572"/>
      <c r="X4" s="572"/>
      <c r="Y4" s="572"/>
      <c r="Z4" s="572"/>
      <c r="AA4" s="572"/>
      <c r="AB4" s="572"/>
      <c r="AC4" s="572"/>
      <c r="AD4" s="572"/>
      <c r="AE4" s="105"/>
      <c r="AF4" s="105"/>
      <c r="AG4" s="105"/>
      <c r="AH4" s="105"/>
      <c r="AI4" s="105"/>
      <c r="AJ4" s="105"/>
      <c r="AK4" s="110"/>
      <c r="AL4" s="105"/>
      <c r="AM4" s="105"/>
    </row>
    <row r="5" spans="1:39" ht="14.25" customHeight="1">
      <c r="A5" s="105"/>
      <c r="B5" s="105"/>
      <c r="C5" s="109"/>
      <c r="D5" s="105"/>
      <c r="E5" s="105"/>
      <c r="F5" s="105"/>
      <c r="G5" s="105"/>
      <c r="H5" s="105"/>
      <c r="I5" s="105"/>
      <c r="J5" s="572"/>
      <c r="K5" s="572"/>
      <c r="L5" s="572"/>
      <c r="M5" s="572"/>
      <c r="N5" s="572"/>
      <c r="O5" s="572"/>
      <c r="P5" s="572"/>
      <c r="Q5" s="572"/>
      <c r="R5" s="572"/>
      <c r="S5" s="572"/>
      <c r="T5" s="572"/>
      <c r="U5" s="572"/>
      <c r="V5" s="572"/>
      <c r="W5" s="572"/>
      <c r="X5" s="572"/>
      <c r="Y5" s="572"/>
      <c r="Z5" s="572"/>
      <c r="AA5" s="572"/>
      <c r="AB5" s="572"/>
      <c r="AC5" s="572"/>
      <c r="AD5" s="572"/>
      <c r="AE5" s="105"/>
      <c r="AF5" s="105"/>
      <c r="AG5" s="105"/>
      <c r="AH5" s="105"/>
      <c r="AI5" s="105"/>
      <c r="AJ5" s="105"/>
      <c r="AK5" s="110"/>
      <c r="AL5" s="105"/>
      <c r="AM5" s="105"/>
    </row>
    <row r="6" spans="1:39" ht="14.25" customHeight="1">
      <c r="A6" s="105"/>
      <c r="B6" s="105"/>
      <c r="C6" s="109"/>
      <c r="D6" s="105"/>
      <c r="E6" s="105"/>
      <c r="F6" s="105"/>
      <c r="G6" s="105"/>
      <c r="H6" s="105"/>
      <c r="I6" s="105"/>
      <c r="J6" s="572"/>
      <c r="K6" s="572"/>
      <c r="L6" s="572"/>
      <c r="M6" s="572"/>
      <c r="N6" s="572"/>
      <c r="O6" s="572"/>
      <c r="P6" s="572"/>
      <c r="Q6" s="572"/>
      <c r="R6" s="572"/>
      <c r="S6" s="572"/>
      <c r="T6" s="572"/>
      <c r="U6" s="572"/>
      <c r="V6" s="572"/>
      <c r="W6" s="572"/>
      <c r="X6" s="572"/>
      <c r="Y6" s="572"/>
      <c r="Z6" s="572"/>
      <c r="AA6" s="572"/>
      <c r="AB6" s="572"/>
      <c r="AC6" s="572"/>
      <c r="AD6" s="572"/>
      <c r="AE6" s="105"/>
      <c r="AF6" s="105"/>
      <c r="AG6" s="105"/>
      <c r="AH6" s="105"/>
      <c r="AI6" s="105"/>
      <c r="AJ6" s="105"/>
      <c r="AK6" s="110"/>
      <c r="AL6" s="105"/>
      <c r="AM6" s="105"/>
    </row>
    <row r="7" spans="1:39" ht="14.25" customHeight="1">
      <c r="C7" s="111"/>
      <c r="D7" s="112"/>
      <c r="E7" s="112"/>
      <c r="F7" s="112"/>
      <c r="G7" s="112"/>
      <c r="H7" s="150"/>
      <c r="I7" s="150"/>
      <c r="J7" s="572"/>
      <c r="K7" s="572"/>
      <c r="L7" s="572"/>
      <c r="M7" s="572"/>
      <c r="N7" s="572"/>
      <c r="O7" s="572"/>
      <c r="P7" s="572"/>
      <c r="Q7" s="572"/>
      <c r="R7" s="572"/>
      <c r="S7" s="572"/>
      <c r="T7" s="572"/>
      <c r="U7" s="572"/>
      <c r="V7" s="572"/>
      <c r="W7" s="572"/>
      <c r="X7" s="572"/>
      <c r="Y7" s="572"/>
      <c r="Z7" s="572"/>
      <c r="AA7" s="572"/>
      <c r="AB7" s="572"/>
      <c r="AC7" s="572"/>
      <c r="AD7" s="572"/>
      <c r="AE7" s="150"/>
      <c r="AF7" s="150"/>
      <c r="AG7" s="150"/>
      <c r="AH7" s="150"/>
      <c r="AI7" s="150"/>
      <c r="AJ7" s="150"/>
      <c r="AK7" s="152"/>
      <c r="AL7" s="150"/>
      <c r="AM7" s="105"/>
    </row>
    <row r="8" spans="1:39" ht="14.25" customHeight="1">
      <c r="A8" s="105"/>
      <c r="B8" s="105"/>
      <c r="C8" s="109"/>
      <c r="D8" s="105" t="s">
        <v>120</v>
      </c>
      <c r="E8" s="105"/>
      <c r="F8" s="105"/>
      <c r="G8" s="105"/>
      <c r="H8" s="115"/>
      <c r="I8" s="115"/>
      <c r="J8" s="115"/>
      <c r="K8" s="116"/>
      <c r="L8" s="116"/>
      <c r="M8" s="116"/>
      <c r="N8" s="116"/>
      <c r="O8" s="116"/>
      <c r="P8" s="116"/>
      <c r="Q8" s="116"/>
      <c r="R8" s="116"/>
      <c r="S8" s="116"/>
      <c r="T8" s="116"/>
      <c r="U8" s="116"/>
      <c r="V8" s="116"/>
      <c r="W8" s="116"/>
      <c r="X8" s="116"/>
      <c r="Y8" s="116"/>
      <c r="Z8" s="116"/>
      <c r="AA8" s="116"/>
      <c r="AB8" s="116"/>
      <c r="AC8" s="116"/>
      <c r="AD8" s="105"/>
      <c r="AE8" s="105"/>
      <c r="AF8" s="105"/>
      <c r="AG8" s="105"/>
      <c r="AH8" s="105"/>
      <c r="AI8" s="105"/>
      <c r="AJ8" s="105"/>
      <c r="AK8" s="110"/>
      <c r="AL8" s="105"/>
      <c r="AM8" s="105"/>
    </row>
    <row r="9" spans="1:39" ht="14.25" customHeight="1">
      <c r="A9" s="105"/>
      <c r="B9" s="105"/>
      <c r="C9" s="109"/>
      <c r="D9" s="118"/>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483">
        <f ca="1">TODAY()</f>
        <v>46316</v>
      </c>
      <c r="AE9" s="483"/>
      <c r="AF9" s="483"/>
      <c r="AG9" s="483"/>
      <c r="AH9" s="483"/>
      <c r="AI9" s="483"/>
      <c r="AJ9" s="483"/>
      <c r="AK9" s="120"/>
      <c r="AL9" s="105"/>
      <c r="AM9" s="105"/>
    </row>
    <row r="10" spans="1:39" ht="14.25" customHeight="1">
      <c r="A10" s="105"/>
      <c r="B10" s="105"/>
      <c r="C10" s="109"/>
      <c r="D10" s="558" t="s">
        <v>122</v>
      </c>
      <c r="E10" s="559"/>
      <c r="F10" s="559"/>
      <c r="G10" s="559"/>
      <c r="H10" s="564"/>
      <c r="I10" s="564"/>
      <c r="J10" s="564"/>
      <c r="K10" s="564"/>
      <c r="L10" s="564"/>
      <c r="M10" s="564"/>
      <c r="N10" s="564"/>
      <c r="O10" s="564"/>
      <c r="P10" s="565" t="s">
        <v>123</v>
      </c>
      <c r="Q10" s="565"/>
      <c r="R10" s="471"/>
      <c r="S10" s="471"/>
      <c r="T10" s="713">
        <f>証明書!AL2</f>
        <v>16851</v>
      </c>
      <c r="U10" s="713"/>
      <c r="V10" s="471"/>
      <c r="W10" s="471"/>
      <c r="X10" s="471"/>
      <c r="Y10" s="471"/>
      <c r="Z10" s="471"/>
      <c r="AA10" s="471"/>
      <c r="AB10" s="471"/>
      <c r="AC10" s="471"/>
      <c r="AD10" s="568" t="s">
        <v>124</v>
      </c>
      <c r="AE10" s="569"/>
      <c r="AF10" s="455"/>
      <c r="AG10" s="453" t="str">
        <f>証明書!AM2</f>
        <v>男</v>
      </c>
      <c r="AH10" s="454"/>
      <c r="AI10" s="454"/>
      <c r="AJ10" s="455"/>
      <c r="AK10" s="122"/>
      <c r="AL10" s="105"/>
      <c r="AM10" s="105"/>
    </row>
    <row r="11" spans="1:39" ht="14.25" customHeight="1">
      <c r="A11" s="105"/>
      <c r="B11" s="105"/>
      <c r="C11" s="109"/>
      <c r="D11" s="562"/>
      <c r="E11" s="563"/>
      <c r="F11" s="563"/>
      <c r="G11" s="563"/>
      <c r="H11" s="564"/>
      <c r="I11" s="564"/>
      <c r="J11" s="564"/>
      <c r="K11" s="564"/>
      <c r="L11" s="564"/>
      <c r="M11" s="564"/>
      <c r="N11" s="564"/>
      <c r="O11" s="564"/>
      <c r="P11" s="471"/>
      <c r="Q11" s="471"/>
      <c r="R11" s="471"/>
      <c r="S11" s="471"/>
      <c r="T11" s="471"/>
      <c r="U11" s="471"/>
      <c r="V11" s="471"/>
      <c r="W11" s="471"/>
      <c r="X11" s="471"/>
      <c r="Y11" s="471"/>
      <c r="Z11" s="471"/>
      <c r="AA11" s="471"/>
      <c r="AB11" s="471"/>
      <c r="AC11" s="471"/>
      <c r="AD11" s="459"/>
      <c r="AE11" s="460"/>
      <c r="AF11" s="461"/>
      <c r="AG11" s="459"/>
      <c r="AH11" s="460"/>
      <c r="AI11" s="460"/>
      <c r="AJ11" s="461"/>
      <c r="AK11" s="122"/>
      <c r="AL11" s="105"/>
      <c r="AM11" s="105"/>
    </row>
    <row r="12" spans="1:39" ht="14.25" customHeight="1">
      <c r="A12" s="105"/>
      <c r="B12" s="105"/>
      <c r="C12" s="109"/>
      <c r="D12" s="530" t="s">
        <v>126</v>
      </c>
      <c r="E12" s="530"/>
      <c r="F12" s="530"/>
      <c r="G12" s="530"/>
      <c r="H12" s="704" t="str">
        <f>証明書!AJ2</f>
        <v>乙川　二郎</v>
      </c>
      <c r="I12" s="705"/>
      <c r="J12" s="705"/>
      <c r="K12" s="705"/>
      <c r="L12" s="705"/>
      <c r="M12" s="705"/>
      <c r="N12" s="705"/>
      <c r="O12" s="705"/>
      <c r="P12" s="705"/>
      <c r="Q12" s="705"/>
      <c r="R12" s="705"/>
      <c r="S12" s="705"/>
      <c r="T12" s="705"/>
      <c r="U12" s="705"/>
      <c r="V12" s="705"/>
      <c r="W12" s="705"/>
      <c r="X12" s="705"/>
      <c r="Y12" s="705"/>
      <c r="Z12" s="705"/>
      <c r="AA12" s="705"/>
      <c r="AB12" s="705"/>
      <c r="AC12" s="705"/>
      <c r="AD12" s="705"/>
      <c r="AE12" s="705"/>
      <c r="AF12" s="705"/>
      <c r="AG12" s="705"/>
      <c r="AH12" s="705"/>
      <c r="AI12" s="705"/>
      <c r="AJ12" s="706"/>
      <c r="AK12" s="123"/>
      <c r="AL12" s="105"/>
      <c r="AM12" s="105"/>
    </row>
    <row r="13" spans="1:39" ht="14.25" customHeight="1">
      <c r="A13" s="105"/>
      <c r="B13" s="105"/>
      <c r="C13" s="109"/>
      <c r="D13" s="530"/>
      <c r="E13" s="530"/>
      <c r="F13" s="530"/>
      <c r="G13" s="530"/>
      <c r="H13" s="710"/>
      <c r="I13" s="711"/>
      <c r="J13" s="711"/>
      <c r="K13" s="711"/>
      <c r="L13" s="711"/>
      <c r="M13" s="711"/>
      <c r="N13" s="711"/>
      <c r="O13" s="711"/>
      <c r="P13" s="711"/>
      <c r="Q13" s="711"/>
      <c r="R13" s="711"/>
      <c r="S13" s="711"/>
      <c r="T13" s="711"/>
      <c r="U13" s="711"/>
      <c r="V13" s="711"/>
      <c r="W13" s="711"/>
      <c r="X13" s="711"/>
      <c r="Y13" s="711"/>
      <c r="Z13" s="711"/>
      <c r="AA13" s="711"/>
      <c r="AB13" s="711"/>
      <c r="AC13" s="711"/>
      <c r="AD13" s="711"/>
      <c r="AE13" s="711"/>
      <c r="AF13" s="711"/>
      <c r="AG13" s="711"/>
      <c r="AH13" s="711"/>
      <c r="AI13" s="711"/>
      <c r="AJ13" s="712"/>
      <c r="AK13" s="123"/>
      <c r="AL13" s="105"/>
      <c r="AM13" s="105"/>
    </row>
    <row r="14" spans="1:39" ht="14.25" customHeight="1">
      <c r="A14" s="105"/>
      <c r="B14" s="105"/>
      <c r="C14" s="109"/>
      <c r="D14" s="530" t="s">
        <v>127</v>
      </c>
      <c r="E14" s="530"/>
      <c r="F14" s="530"/>
      <c r="G14" s="530"/>
      <c r="H14" s="484"/>
      <c r="I14" s="485"/>
      <c r="J14" s="485"/>
      <c r="K14" s="485"/>
      <c r="L14" s="485"/>
      <c r="M14" s="485"/>
      <c r="N14" s="485"/>
      <c r="O14" s="485"/>
      <c r="P14" s="485"/>
      <c r="Q14" s="485"/>
      <c r="R14" s="485"/>
      <c r="S14" s="485"/>
      <c r="T14" s="485"/>
      <c r="U14" s="485"/>
      <c r="V14" s="485"/>
      <c r="W14" s="485"/>
      <c r="X14" s="485"/>
      <c r="Y14" s="485"/>
      <c r="Z14" s="485"/>
      <c r="AA14" s="485"/>
      <c r="AB14" s="485"/>
      <c r="AC14" s="485"/>
      <c r="AD14" s="485"/>
      <c r="AE14" s="485"/>
      <c r="AF14" s="485"/>
      <c r="AG14" s="485"/>
      <c r="AH14" s="485"/>
      <c r="AI14" s="485"/>
      <c r="AJ14" s="486"/>
      <c r="AK14" s="123"/>
      <c r="AL14" s="105"/>
      <c r="AM14" s="105"/>
    </row>
    <row r="15" spans="1:39" ht="14.25" customHeight="1">
      <c r="A15" s="105"/>
      <c r="B15" s="105"/>
      <c r="C15" s="109"/>
      <c r="D15" s="530"/>
      <c r="E15" s="530"/>
      <c r="F15" s="530"/>
      <c r="G15" s="530"/>
      <c r="H15" s="490"/>
      <c r="I15" s="491"/>
      <c r="J15" s="491"/>
      <c r="K15" s="491"/>
      <c r="L15" s="491"/>
      <c r="M15" s="491"/>
      <c r="N15" s="491"/>
      <c r="O15" s="491"/>
      <c r="P15" s="491"/>
      <c r="Q15" s="491"/>
      <c r="R15" s="491"/>
      <c r="S15" s="491"/>
      <c r="T15" s="491"/>
      <c r="U15" s="491"/>
      <c r="V15" s="491"/>
      <c r="W15" s="491"/>
      <c r="X15" s="491"/>
      <c r="Y15" s="491"/>
      <c r="Z15" s="491"/>
      <c r="AA15" s="491"/>
      <c r="AB15" s="491"/>
      <c r="AC15" s="491"/>
      <c r="AD15" s="491"/>
      <c r="AE15" s="491"/>
      <c r="AF15" s="491"/>
      <c r="AG15" s="491"/>
      <c r="AH15" s="491"/>
      <c r="AI15" s="491"/>
      <c r="AJ15" s="492"/>
      <c r="AK15" s="123"/>
      <c r="AL15" s="105"/>
      <c r="AM15" s="105"/>
    </row>
    <row r="16" spans="1:39" ht="14.25" customHeight="1">
      <c r="A16" s="105"/>
      <c r="B16" s="105"/>
      <c r="C16" s="109"/>
      <c r="D16" s="530" t="s">
        <v>128</v>
      </c>
      <c r="E16" s="530"/>
      <c r="F16" s="530"/>
      <c r="G16" s="530"/>
      <c r="H16" s="484"/>
      <c r="I16" s="485"/>
      <c r="J16" s="485"/>
      <c r="K16" s="485"/>
      <c r="L16" s="485"/>
      <c r="M16" s="485"/>
      <c r="N16" s="485"/>
      <c r="O16" s="485"/>
      <c r="P16" s="485"/>
      <c r="Q16" s="485"/>
      <c r="R16" s="485"/>
      <c r="S16" s="485"/>
      <c r="T16" s="485"/>
      <c r="U16" s="485"/>
      <c r="V16" s="485"/>
      <c r="W16" s="485"/>
      <c r="X16" s="485"/>
      <c r="Y16" s="485"/>
      <c r="Z16" s="485"/>
      <c r="AA16" s="485"/>
      <c r="AB16" s="485"/>
      <c r="AC16" s="485"/>
      <c r="AD16" s="485"/>
      <c r="AE16" s="485"/>
      <c r="AF16" s="485"/>
      <c r="AG16" s="485"/>
      <c r="AH16" s="485"/>
      <c r="AI16" s="485"/>
      <c r="AJ16" s="486"/>
      <c r="AK16" s="122"/>
      <c r="AL16" s="105"/>
      <c r="AM16" s="105"/>
    </row>
    <row r="17" spans="1:39" ht="14.25" customHeight="1">
      <c r="A17" s="105"/>
      <c r="B17" s="105"/>
      <c r="C17" s="109"/>
      <c r="D17" s="530"/>
      <c r="E17" s="530"/>
      <c r="F17" s="530"/>
      <c r="G17" s="530"/>
      <c r="H17" s="490"/>
      <c r="I17" s="491"/>
      <c r="J17" s="491"/>
      <c r="K17" s="491"/>
      <c r="L17" s="491"/>
      <c r="M17" s="491"/>
      <c r="N17" s="491"/>
      <c r="O17" s="491"/>
      <c r="P17" s="491"/>
      <c r="Q17" s="491"/>
      <c r="R17" s="491"/>
      <c r="S17" s="491"/>
      <c r="T17" s="491"/>
      <c r="U17" s="491"/>
      <c r="V17" s="491"/>
      <c r="W17" s="491"/>
      <c r="X17" s="491"/>
      <c r="Y17" s="491"/>
      <c r="Z17" s="491"/>
      <c r="AA17" s="491"/>
      <c r="AB17" s="491"/>
      <c r="AC17" s="491"/>
      <c r="AD17" s="491"/>
      <c r="AE17" s="491"/>
      <c r="AF17" s="491"/>
      <c r="AG17" s="491"/>
      <c r="AH17" s="491"/>
      <c r="AI17" s="491"/>
      <c r="AJ17" s="492"/>
      <c r="AK17" s="122"/>
      <c r="AL17" s="105"/>
      <c r="AM17" s="105"/>
    </row>
    <row r="18" spans="1:39" ht="14.25" customHeight="1">
      <c r="A18" s="105"/>
      <c r="B18" s="105"/>
      <c r="C18" s="109"/>
      <c r="D18" s="462" t="s">
        <v>169</v>
      </c>
      <c r="E18" s="463"/>
      <c r="F18" s="463"/>
      <c r="G18" s="464"/>
      <c r="H18" s="484" t="s">
        <v>206</v>
      </c>
      <c r="I18" s="485"/>
      <c r="J18" s="485"/>
      <c r="K18" s="485"/>
      <c r="L18" s="485"/>
      <c r="M18" s="485"/>
      <c r="N18" s="485"/>
      <c r="O18" s="485"/>
      <c r="P18" s="485"/>
      <c r="Q18" s="485"/>
      <c r="R18" s="485"/>
      <c r="S18" s="485"/>
      <c r="T18" s="485"/>
      <c r="U18" s="485"/>
      <c r="V18" s="485"/>
      <c r="W18" s="485"/>
      <c r="X18" s="485"/>
      <c r="Y18" s="485"/>
      <c r="Z18" s="485"/>
      <c r="AA18" s="485"/>
      <c r="AB18" s="485"/>
      <c r="AC18" s="485"/>
      <c r="AD18" s="485"/>
      <c r="AE18" s="485"/>
      <c r="AF18" s="485"/>
      <c r="AG18" s="485"/>
      <c r="AH18" s="485"/>
      <c r="AI18" s="485"/>
      <c r="AJ18" s="486"/>
      <c r="AK18" s="123"/>
      <c r="AL18" s="105"/>
      <c r="AM18" s="105"/>
    </row>
    <row r="19" spans="1:39" ht="14.25" customHeight="1">
      <c r="A19" s="105"/>
      <c r="B19" s="105"/>
      <c r="C19" s="109"/>
      <c r="D19" s="468"/>
      <c r="E19" s="469"/>
      <c r="F19" s="469"/>
      <c r="G19" s="470"/>
      <c r="H19" s="490"/>
      <c r="I19" s="491"/>
      <c r="J19" s="491"/>
      <c r="K19" s="491"/>
      <c r="L19" s="491"/>
      <c r="M19" s="491"/>
      <c r="N19" s="491"/>
      <c r="O19" s="491"/>
      <c r="P19" s="491"/>
      <c r="Q19" s="491"/>
      <c r="R19" s="491"/>
      <c r="S19" s="491"/>
      <c r="T19" s="491"/>
      <c r="U19" s="491"/>
      <c r="V19" s="491"/>
      <c r="W19" s="491"/>
      <c r="X19" s="491"/>
      <c r="Y19" s="491"/>
      <c r="Z19" s="491"/>
      <c r="AA19" s="491"/>
      <c r="AB19" s="491"/>
      <c r="AC19" s="491"/>
      <c r="AD19" s="491"/>
      <c r="AE19" s="491"/>
      <c r="AF19" s="491"/>
      <c r="AG19" s="491"/>
      <c r="AH19" s="491"/>
      <c r="AI19" s="491"/>
      <c r="AJ19" s="492"/>
      <c r="AK19" s="123"/>
      <c r="AL19" s="105"/>
      <c r="AM19" s="105"/>
    </row>
    <row r="20" spans="1:39" ht="14.25" customHeight="1">
      <c r="A20" s="105"/>
      <c r="B20" s="105"/>
      <c r="C20" s="109"/>
      <c r="D20" s="125" t="s">
        <v>129</v>
      </c>
      <c r="E20" s="126" t="s">
        <v>130</v>
      </c>
      <c r="F20" s="127"/>
      <c r="G20" s="127"/>
      <c r="H20" s="107"/>
      <c r="I20" s="107"/>
      <c r="J20" s="107"/>
      <c r="K20" s="107"/>
      <c r="L20" s="107"/>
      <c r="M20" s="107"/>
      <c r="N20" s="107"/>
      <c r="O20" s="166"/>
      <c r="P20" s="107"/>
      <c r="Q20" s="107"/>
      <c r="R20" s="107"/>
      <c r="S20" s="167"/>
      <c r="T20" s="168"/>
      <c r="U20" s="168"/>
      <c r="V20" s="168"/>
      <c r="W20" s="168"/>
      <c r="X20" s="168"/>
      <c r="Y20" s="168"/>
      <c r="Z20" s="168"/>
      <c r="AA20" s="168"/>
      <c r="AB20" s="168"/>
      <c r="AC20" s="107"/>
      <c r="AD20" s="107"/>
      <c r="AE20" s="107"/>
      <c r="AF20" s="107"/>
      <c r="AG20" s="107"/>
      <c r="AH20" s="107"/>
      <c r="AI20" s="107"/>
      <c r="AJ20" s="107"/>
      <c r="AK20" s="110"/>
      <c r="AL20" s="105"/>
      <c r="AM20" s="105"/>
    </row>
    <row r="21" spans="1:39" ht="14.25" customHeight="1">
      <c r="A21" s="105"/>
      <c r="B21" s="105"/>
      <c r="C21" s="109"/>
      <c r="D21" s="169"/>
      <c r="E21" s="116"/>
      <c r="F21" s="127"/>
      <c r="G21" s="127"/>
      <c r="H21" s="105"/>
      <c r="I21" s="105"/>
      <c r="J21" s="105"/>
      <c r="K21" s="105"/>
      <c r="L21" s="105"/>
      <c r="M21" s="105"/>
      <c r="N21" s="105"/>
      <c r="O21" s="128"/>
      <c r="P21" s="105"/>
      <c r="Q21" s="105"/>
      <c r="R21" s="105"/>
      <c r="S21" s="129"/>
      <c r="T21" s="127"/>
      <c r="U21" s="127"/>
      <c r="V21" s="127"/>
      <c r="W21" s="127"/>
      <c r="X21" s="127"/>
      <c r="Y21" s="127"/>
      <c r="Z21" s="127"/>
      <c r="AA21" s="127"/>
      <c r="AB21" s="127"/>
      <c r="AC21" s="105"/>
      <c r="AD21" s="105"/>
      <c r="AE21" s="105"/>
      <c r="AF21" s="105"/>
      <c r="AG21" s="105"/>
      <c r="AH21" s="105"/>
      <c r="AI21" s="105"/>
      <c r="AJ21" s="105"/>
      <c r="AK21" s="110"/>
      <c r="AL21" s="105"/>
      <c r="AM21" s="105"/>
    </row>
    <row r="22" spans="1:39" ht="14.25" customHeight="1">
      <c r="A22" s="105"/>
      <c r="B22" s="105"/>
      <c r="C22" s="109"/>
      <c r="D22" s="170" t="s">
        <v>170</v>
      </c>
      <c r="E22" s="169"/>
      <c r="F22" s="169"/>
      <c r="G22" s="169"/>
      <c r="H22" s="169"/>
      <c r="I22" s="169"/>
      <c r="J22" s="169"/>
      <c r="K22" s="169"/>
      <c r="L22" s="169"/>
      <c r="M22" s="169"/>
      <c r="N22" s="169"/>
      <c r="O22" s="169"/>
      <c r="P22" s="105"/>
      <c r="Q22" s="105"/>
      <c r="R22" s="105"/>
      <c r="S22" s="129"/>
      <c r="T22" s="127"/>
      <c r="U22" s="127"/>
      <c r="V22" s="127"/>
      <c r="W22" s="127"/>
      <c r="X22" s="127"/>
      <c r="Y22" s="127"/>
      <c r="Z22" s="127"/>
      <c r="AA22" s="127"/>
      <c r="AB22" s="127"/>
      <c r="AC22" s="105"/>
      <c r="AD22" s="105"/>
      <c r="AE22" s="105"/>
      <c r="AF22" s="105"/>
      <c r="AG22" s="105"/>
      <c r="AH22" s="105"/>
      <c r="AI22" s="105"/>
      <c r="AJ22" s="105"/>
      <c r="AK22" s="110"/>
      <c r="AL22" s="105"/>
      <c r="AM22" s="105"/>
    </row>
    <row r="23" spans="1:39" ht="14.25" customHeight="1">
      <c r="A23" s="105"/>
      <c r="B23" s="105"/>
      <c r="C23" s="109"/>
      <c r="D23" s="678" t="s">
        <v>171</v>
      </c>
      <c r="E23" s="678"/>
      <c r="F23" s="678"/>
      <c r="G23" s="678"/>
      <c r="H23" s="678"/>
      <c r="I23" s="678"/>
      <c r="J23" s="678"/>
      <c r="K23" s="678"/>
      <c r="L23" s="678"/>
      <c r="M23" s="678"/>
      <c r="N23" s="678"/>
      <c r="O23" s="678"/>
      <c r="P23" s="678"/>
      <c r="Q23" s="678"/>
      <c r="R23" s="678"/>
      <c r="S23" s="678"/>
      <c r="T23" s="678"/>
      <c r="U23" s="678"/>
      <c r="V23" s="678" t="s">
        <v>172</v>
      </c>
      <c r="W23" s="678"/>
      <c r="X23" s="678"/>
      <c r="Y23" s="678"/>
      <c r="Z23" s="678"/>
      <c r="AA23" s="678"/>
      <c r="AB23" s="565" t="s">
        <v>125</v>
      </c>
      <c r="AC23" s="565"/>
      <c r="AD23" s="565"/>
      <c r="AE23" s="565"/>
      <c r="AF23" s="565"/>
      <c r="AG23" s="565"/>
      <c r="AH23" s="565"/>
      <c r="AI23" s="565"/>
      <c r="AJ23" s="565"/>
      <c r="AK23" s="110"/>
      <c r="AL23" s="105"/>
      <c r="AM23" s="105"/>
    </row>
    <row r="24" spans="1:39" ht="14.25" customHeight="1">
      <c r="A24" s="105"/>
      <c r="B24" s="105"/>
      <c r="C24" s="109"/>
      <c r="D24" s="678"/>
      <c r="E24" s="678"/>
      <c r="F24" s="678"/>
      <c r="G24" s="678"/>
      <c r="H24" s="678"/>
      <c r="I24" s="678"/>
      <c r="J24" s="678"/>
      <c r="K24" s="678"/>
      <c r="L24" s="678"/>
      <c r="M24" s="678"/>
      <c r="N24" s="678"/>
      <c r="O24" s="678"/>
      <c r="P24" s="678"/>
      <c r="Q24" s="678"/>
      <c r="R24" s="678"/>
      <c r="S24" s="678"/>
      <c r="T24" s="678"/>
      <c r="U24" s="678"/>
      <c r="V24" s="678"/>
      <c r="W24" s="678"/>
      <c r="X24" s="678"/>
      <c r="Y24" s="678"/>
      <c r="Z24" s="678"/>
      <c r="AA24" s="678"/>
      <c r="AB24" s="565"/>
      <c r="AC24" s="565"/>
      <c r="AD24" s="565"/>
      <c r="AE24" s="565"/>
      <c r="AF24" s="565"/>
      <c r="AG24" s="565"/>
      <c r="AH24" s="565"/>
      <c r="AI24" s="565"/>
      <c r="AJ24" s="565"/>
      <c r="AK24" s="110"/>
      <c r="AL24" s="105"/>
      <c r="AM24" s="105"/>
    </row>
    <row r="25" spans="1:39" ht="14.25" customHeight="1">
      <c r="A25" s="105"/>
      <c r="B25" s="105"/>
      <c r="C25" s="109"/>
      <c r="D25" s="678" t="s">
        <v>173</v>
      </c>
      <c r="E25" s="678"/>
      <c r="F25" s="678"/>
      <c r="G25" s="678"/>
      <c r="H25" s="678"/>
      <c r="I25" s="678"/>
      <c r="J25" s="678"/>
      <c r="K25" s="678"/>
      <c r="L25" s="678"/>
      <c r="M25" s="678"/>
      <c r="N25" s="678"/>
      <c r="O25" s="678"/>
      <c r="P25" s="678"/>
      <c r="Q25" s="678"/>
      <c r="R25" s="678"/>
      <c r="S25" s="678"/>
      <c r="T25" s="678"/>
      <c r="U25" s="678"/>
      <c r="V25" s="678"/>
      <c r="W25" s="678"/>
      <c r="X25" s="678"/>
      <c r="Y25" s="678"/>
      <c r="Z25" s="678"/>
      <c r="AA25" s="678"/>
      <c r="AB25" s="678"/>
      <c r="AC25" s="678"/>
      <c r="AD25" s="678"/>
      <c r="AE25" s="678"/>
      <c r="AF25" s="678"/>
      <c r="AG25" s="678"/>
      <c r="AH25" s="678"/>
      <c r="AI25" s="678"/>
      <c r="AJ25" s="678"/>
      <c r="AK25" s="110"/>
      <c r="AL25" s="105"/>
      <c r="AM25" s="105"/>
    </row>
    <row r="26" spans="1:39" ht="14.25" customHeight="1">
      <c r="A26" s="105"/>
      <c r="B26" s="105"/>
      <c r="C26" s="109"/>
      <c r="D26" s="678"/>
      <c r="E26" s="678"/>
      <c r="F26" s="678"/>
      <c r="G26" s="678"/>
      <c r="H26" s="678"/>
      <c r="I26" s="678"/>
      <c r="J26" s="678"/>
      <c r="K26" s="678"/>
      <c r="L26" s="678"/>
      <c r="M26" s="678"/>
      <c r="N26" s="678"/>
      <c r="O26" s="678"/>
      <c r="P26" s="678"/>
      <c r="Q26" s="678"/>
      <c r="R26" s="678"/>
      <c r="S26" s="678"/>
      <c r="T26" s="678"/>
      <c r="U26" s="678"/>
      <c r="V26" s="678"/>
      <c r="W26" s="678"/>
      <c r="X26" s="678"/>
      <c r="Y26" s="678"/>
      <c r="Z26" s="678"/>
      <c r="AA26" s="678"/>
      <c r="AB26" s="678"/>
      <c r="AC26" s="678"/>
      <c r="AD26" s="678"/>
      <c r="AE26" s="678"/>
      <c r="AF26" s="678"/>
      <c r="AG26" s="678"/>
      <c r="AH26" s="678"/>
      <c r="AI26" s="678"/>
      <c r="AJ26" s="678"/>
      <c r="AK26" s="110"/>
      <c r="AL26" s="105"/>
      <c r="AM26" s="105"/>
    </row>
    <row r="27" spans="1:39" ht="14.25" customHeight="1">
      <c r="A27" s="105"/>
      <c r="B27" s="105"/>
      <c r="C27" s="109"/>
      <c r="D27" s="678" t="s">
        <v>174</v>
      </c>
      <c r="E27" s="678"/>
      <c r="F27" s="678"/>
      <c r="G27" s="678"/>
      <c r="H27" s="678"/>
      <c r="I27" s="678"/>
      <c r="J27" s="727" t="str">
        <f>"北海道河西郡"&amp;証明書!AN3</f>
        <v>北海道河西郡芽室町中央二丁目２番地　</v>
      </c>
      <c r="K27" s="727"/>
      <c r="L27" s="727"/>
      <c r="M27" s="727"/>
      <c r="N27" s="727"/>
      <c r="O27" s="727"/>
      <c r="P27" s="727"/>
      <c r="Q27" s="727"/>
      <c r="R27" s="727"/>
      <c r="S27" s="727"/>
      <c r="T27" s="727"/>
      <c r="U27" s="727"/>
      <c r="V27" s="727"/>
      <c r="W27" s="727"/>
      <c r="X27" s="727"/>
      <c r="Y27" s="727"/>
      <c r="Z27" s="727"/>
      <c r="AA27" s="727"/>
      <c r="AB27" s="727"/>
      <c r="AC27" s="727"/>
      <c r="AD27" s="727"/>
      <c r="AE27" s="727"/>
      <c r="AF27" s="727"/>
      <c r="AG27" s="727"/>
      <c r="AH27" s="727"/>
      <c r="AI27" s="727"/>
      <c r="AJ27" s="727"/>
      <c r="AK27" s="110"/>
      <c r="AL27" s="105"/>
      <c r="AM27" s="105"/>
    </row>
    <row r="28" spans="1:39" ht="14.25" customHeight="1">
      <c r="A28" s="105"/>
      <c r="B28" s="105"/>
      <c r="C28" s="109"/>
      <c r="D28" s="678"/>
      <c r="E28" s="678"/>
      <c r="F28" s="678"/>
      <c r="G28" s="678"/>
      <c r="H28" s="678"/>
      <c r="I28" s="678"/>
      <c r="J28" s="727"/>
      <c r="K28" s="727"/>
      <c r="L28" s="727"/>
      <c r="M28" s="727"/>
      <c r="N28" s="727"/>
      <c r="O28" s="727"/>
      <c r="P28" s="727"/>
      <c r="Q28" s="727"/>
      <c r="R28" s="727"/>
      <c r="S28" s="727"/>
      <c r="T28" s="727"/>
      <c r="U28" s="727"/>
      <c r="V28" s="727"/>
      <c r="W28" s="727"/>
      <c r="X28" s="727"/>
      <c r="Y28" s="727"/>
      <c r="Z28" s="727"/>
      <c r="AA28" s="727"/>
      <c r="AB28" s="727"/>
      <c r="AC28" s="727"/>
      <c r="AD28" s="727"/>
      <c r="AE28" s="727"/>
      <c r="AF28" s="727"/>
      <c r="AG28" s="727"/>
      <c r="AH28" s="727"/>
      <c r="AI28" s="727"/>
      <c r="AJ28" s="727"/>
      <c r="AK28" s="110"/>
      <c r="AL28" s="105"/>
      <c r="AM28" s="105"/>
    </row>
    <row r="29" spans="1:39" ht="12" customHeight="1">
      <c r="A29" s="105"/>
      <c r="B29" s="105"/>
      <c r="C29" s="109"/>
      <c r="D29" s="169"/>
      <c r="E29" s="169"/>
      <c r="F29" s="169"/>
      <c r="G29" s="169"/>
      <c r="H29" s="169"/>
      <c r="I29" s="169"/>
      <c r="J29" s="169"/>
      <c r="K29" s="169"/>
      <c r="L29" s="169"/>
      <c r="M29" s="169"/>
      <c r="N29" s="169"/>
      <c r="O29" s="169"/>
      <c r="P29" s="105"/>
      <c r="Q29" s="105"/>
      <c r="R29" s="105"/>
      <c r="S29" s="129"/>
      <c r="T29" s="127"/>
      <c r="U29" s="127"/>
      <c r="V29" s="127"/>
      <c r="W29" s="127"/>
      <c r="X29" s="127"/>
      <c r="Y29" s="127"/>
      <c r="Z29" s="127"/>
      <c r="AA29" s="127"/>
      <c r="AB29" s="127"/>
      <c r="AC29" s="105"/>
      <c r="AD29" s="105"/>
      <c r="AE29" s="105"/>
      <c r="AF29" s="105"/>
      <c r="AG29" s="105"/>
      <c r="AH29" s="105"/>
      <c r="AI29" s="105"/>
      <c r="AJ29" s="105"/>
      <c r="AK29" s="110"/>
      <c r="AL29" s="105"/>
      <c r="AM29" s="105"/>
    </row>
    <row r="30" spans="1:39" ht="22.75" customHeight="1">
      <c r="A30" s="105"/>
      <c r="B30" s="105"/>
      <c r="C30" s="109"/>
      <c r="D30" s="726" t="s">
        <v>175</v>
      </c>
      <c r="E30" s="726"/>
      <c r="F30" s="726"/>
      <c r="G30" s="726"/>
      <c r="H30" s="726"/>
      <c r="I30" s="726"/>
      <c r="J30" s="726"/>
      <c r="K30" s="726"/>
      <c r="L30" s="726"/>
      <c r="M30" s="726"/>
      <c r="N30" s="726"/>
      <c r="O30" s="726"/>
      <c r="P30" s="726"/>
      <c r="Q30" s="726"/>
      <c r="R30" s="726"/>
      <c r="S30" s="726"/>
      <c r="T30" s="726"/>
      <c r="U30" s="726"/>
      <c r="V30" s="726"/>
      <c r="W30" s="726"/>
      <c r="X30" s="726"/>
      <c r="Y30" s="726"/>
      <c r="Z30" s="726"/>
      <c r="AA30" s="726"/>
      <c r="AB30" s="726"/>
      <c r="AC30" s="726"/>
      <c r="AD30" s="726"/>
      <c r="AE30" s="726"/>
      <c r="AF30" s="726"/>
      <c r="AG30" s="726"/>
      <c r="AH30" s="726"/>
      <c r="AI30" s="726"/>
      <c r="AJ30" s="726"/>
      <c r="AK30" s="110"/>
      <c r="AL30" s="105"/>
      <c r="AM30" s="105"/>
    </row>
    <row r="31" spans="1:39" ht="2.5" customHeight="1">
      <c r="A31" s="105"/>
      <c r="B31" s="105"/>
      <c r="C31" s="109"/>
      <c r="D31" s="169"/>
      <c r="E31" s="169"/>
      <c r="F31" s="169"/>
      <c r="G31" s="169"/>
      <c r="H31" s="169"/>
      <c r="I31" s="169"/>
      <c r="J31" s="169"/>
      <c r="K31" s="169"/>
      <c r="L31" s="169"/>
      <c r="M31" s="169"/>
      <c r="N31" s="169"/>
      <c r="O31" s="169"/>
      <c r="P31" s="105"/>
      <c r="Q31" s="105"/>
      <c r="R31" s="105"/>
      <c r="S31" s="129"/>
      <c r="T31" s="127"/>
      <c r="U31" s="127"/>
      <c r="V31" s="127"/>
      <c r="W31" s="127"/>
      <c r="X31" s="127"/>
      <c r="Y31" s="127"/>
      <c r="Z31" s="127"/>
      <c r="AA31" s="127"/>
      <c r="AB31" s="127"/>
      <c r="AC31" s="105"/>
      <c r="AD31" s="105"/>
      <c r="AE31" s="105"/>
      <c r="AF31" s="105"/>
      <c r="AG31" s="105"/>
      <c r="AH31" s="105"/>
      <c r="AI31" s="105"/>
      <c r="AJ31" s="105"/>
      <c r="AK31" s="110"/>
      <c r="AL31" s="105"/>
      <c r="AM31" s="105"/>
    </row>
    <row r="32" spans="1:39" ht="12" customHeight="1">
      <c r="A32" s="105"/>
      <c r="B32" s="105"/>
      <c r="C32" s="109"/>
      <c r="D32" s="678" t="s">
        <v>176</v>
      </c>
      <c r="E32" s="678"/>
      <c r="F32" s="678"/>
      <c r="G32" s="678"/>
      <c r="H32" s="678"/>
      <c r="I32" s="678"/>
      <c r="J32" s="678"/>
      <c r="K32" s="678"/>
      <c r="L32" s="678"/>
      <c r="M32" s="678"/>
      <c r="N32" s="678"/>
      <c r="O32" s="678"/>
      <c r="P32" s="678"/>
      <c r="Q32" s="678"/>
      <c r="R32" s="678"/>
      <c r="S32" s="678"/>
      <c r="T32" s="678"/>
      <c r="U32" s="678"/>
      <c r="V32" s="678"/>
      <c r="W32" s="678"/>
      <c r="X32" s="565" t="s">
        <v>177</v>
      </c>
      <c r="Y32" s="565"/>
      <c r="Z32" s="565"/>
      <c r="AA32" s="565"/>
      <c r="AB32" s="565"/>
      <c r="AC32" s="565"/>
      <c r="AD32" s="565"/>
      <c r="AE32" s="105"/>
      <c r="AF32" s="105"/>
      <c r="AG32" s="105"/>
      <c r="AH32" s="105"/>
      <c r="AI32" s="105"/>
      <c r="AJ32" s="105"/>
      <c r="AK32" s="110"/>
      <c r="AL32" s="105"/>
      <c r="AM32" s="105"/>
    </row>
    <row r="33" spans="1:39" ht="12" customHeight="1">
      <c r="A33" s="105"/>
      <c r="B33" s="105"/>
      <c r="C33" s="109"/>
      <c r="D33" s="678"/>
      <c r="E33" s="678"/>
      <c r="F33" s="678"/>
      <c r="G33" s="678"/>
      <c r="H33" s="678"/>
      <c r="I33" s="678"/>
      <c r="J33" s="678"/>
      <c r="K33" s="678"/>
      <c r="L33" s="678"/>
      <c r="M33" s="678"/>
      <c r="N33" s="678"/>
      <c r="O33" s="678"/>
      <c r="P33" s="678"/>
      <c r="Q33" s="678"/>
      <c r="R33" s="678"/>
      <c r="S33" s="678"/>
      <c r="T33" s="678"/>
      <c r="U33" s="678"/>
      <c r="V33" s="678"/>
      <c r="W33" s="678"/>
      <c r="X33" s="565"/>
      <c r="Y33" s="565"/>
      <c r="Z33" s="565"/>
      <c r="AA33" s="565"/>
      <c r="AB33" s="565"/>
      <c r="AC33" s="565"/>
      <c r="AD33" s="565"/>
      <c r="AE33" s="105"/>
      <c r="AF33" s="105"/>
      <c r="AG33" s="105"/>
      <c r="AH33" s="105"/>
      <c r="AI33" s="105"/>
      <c r="AJ33" s="105"/>
      <c r="AK33" s="110"/>
      <c r="AL33" s="105"/>
      <c r="AM33" s="105"/>
    </row>
    <row r="34" spans="1:39" ht="6.65" customHeight="1">
      <c r="A34" s="105"/>
      <c r="B34" s="105"/>
      <c r="C34" s="109"/>
      <c r="D34" s="169"/>
      <c r="E34" s="169"/>
      <c r="F34" s="169"/>
      <c r="G34" s="169"/>
      <c r="H34" s="169"/>
      <c r="I34" s="169"/>
      <c r="J34" s="169"/>
      <c r="K34" s="169"/>
      <c r="L34" s="169"/>
      <c r="M34" s="169"/>
      <c r="N34" s="169"/>
      <c r="O34" s="169"/>
      <c r="P34" s="105"/>
      <c r="Q34" s="105"/>
      <c r="R34" s="105"/>
      <c r="S34" s="129"/>
      <c r="T34" s="127"/>
      <c r="U34" s="127"/>
      <c r="V34" s="127"/>
      <c r="W34" s="127"/>
      <c r="X34" s="127"/>
      <c r="Y34" s="127"/>
      <c r="Z34" s="127"/>
      <c r="AA34" s="127"/>
      <c r="AB34" s="127"/>
      <c r="AC34" s="105"/>
      <c r="AD34" s="105"/>
      <c r="AE34" s="105"/>
      <c r="AF34" s="105"/>
      <c r="AG34" s="105"/>
      <c r="AH34" s="105"/>
      <c r="AI34" s="105"/>
      <c r="AJ34" s="105"/>
      <c r="AK34" s="110"/>
      <c r="AL34" s="105"/>
      <c r="AM34" s="105"/>
    </row>
    <row r="35" spans="1:39" ht="23.25" customHeight="1">
      <c r="A35" s="105"/>
      <c r="B35" s="105"/>
      <c r="C35" s="109"/>
      <c r="D35" s="726" t="s">
        <v>178</v>
      </c>
      <c r="E35" s="726"/>
      <c r="F35" s="726"/>
      <c r="G35" s="726"/>
      <c r="H35" s="726"/>
      <c r="I35" s="726"/>
      <c r="J35" s="726"/>
      <c r="K35" s="726"/>
      <c r="L35" s="726"/>
      <c r="M35" s="726"/>
      <c r="N35" s="726"/>
      <c r="O35" s="726"/>
      <c r="P35" s="726"/>
      <c r="Q35" s="726"/>
      <c r="R35" s="726"/>
      <c r="S35" s="726"/>
      <c r="T35" s="726"/>
      <c r="U35" s="726"/>
      <c r="V35" s="726"/>
      <c r="W35" s="726"/>
      <c r="X35" s="726"/>
      <c r="Y35" s="726"/>
      <c r="Z35" s="726"/>
      <c r="AA35" s="726"/>
      <c r="AB35" s="726"/>
      <c r="AC35" s="726"/>
      <c r="AD35" s="726"/>
      <c r="AE35" s="726"/>
      <c r="AF35" s="726"/>
      <c r="AG35" s="726"/>
      <c r="AH35" s="726"/>
      <c r="AI35" s="726"/>
      <c r="AJ35" s="726"/>
      <c r="AK35" s="110"/>
      <c r="AL35" s="105"/>
      <c r="AM35" s="105"/>
    </row>
    <row r="36" spans="1:39" ht="2.25" customHeight="1">
      <c r="A36" s="105"/>
      <c r="B36" s="105"/>
      <c r="C36" s="109"/>
      <c r="D36" s="170"/>
      <c r="E36" s="169"/>
      <c r="F36" s="169"/>
      <c r="G36" s="169"/>
      <c r="H36" s="169"/>
      <c r="I36" s="169"/>
      <c r="J36" s="169"/>
      <c r="K36" s="169"/>
      <c r="L36" s="169"/>
      <c r="M36" s="169"/>
      <c r="N36" s="169"/>
      <c r="O36" s="169"/>
      <c r="P36" s="105"/>
      <c r="Q36" s="105"/>
      <c r="R36" s="105"/>
      <c r="S36" s="129"/>
      <c r="T36" s="127"/>
      <c r="U36" s="127"/>
      <c r="V36" s="127"/>
      <c r="W36" s="127"/>
      <c r="X36" s="127"/>
      <c r="Y36" s="127"/>
      <c r="Z36" s="127"/>
      <c r="AA36" s="127"/>
      <c r="AB36" s="127"/>
      <c r="AC36" s="105"/>
      <c r="AD36" s="105"/>
      <c r="AE36" s="105"/>
      <c r="AF36" s="105"/>
      <c r="AG36" s="105"/>
      <c r="AH36" s="105"/>
      <c r="AI36" s="105"/>
      <c r="AJ36" s="105"/>
      <c r="AK36" s="110"/>
      <c r="AL36" s="105"/>
      <c r="AM36" s="105"/>
    </row>
    <row r="37" spans="1:39" ht="14.25" customHeight="1">
      <c r="A37" s="105"/>
      <c r="B37" s="105"/>
      <c r="C37" s="109"/>
      <c r="D37" s="678" t="s">
        <v>179</v>
      </c>
      <c r="E37" s="678"/>
      <c r="F37" s="678"/>
      <c r="G37" s="678"/>
      <c r="H37" s="678"/>
      <c r="I37" s="678"/>
      <c r="J37" s="678"/>
      <c r="K37" s="678"/>
      <c r="L37" s="678"/>
      <c r="M37" s="678"/>
      <c r="N37" s="678"/>
      <c r="O37" s="678"/>
      <c r="P37" s="678"/>
      <c r="Q37" s="678"/>
      <c r="R37" s="678"/>
      <c r="S37" s="678"/>
      <c r="T37" s="678"/>
      <c r="U37" s="678"/>
      <c r="V37" s="678"/>
      <c r="W37" s="678"/>
      <c r="X37" s="678" t="s">
        <v>180</v>
      </c>
      <c r="Y37" s="678"/>
      <c r="Z37" s="678"/>
      <c r="AA37" s="678"/>
      <c r="AB37" s="678"/>
      <c r="AC37" s="678"/>
      <c r="AD37" s="678"/>
      <c r="AE37" s="105"/>
      <c r="AF37" s="105"/>
      <c r="AG37" s="105"/>
      <c r="AH37" s="105"/>
      <c r="AI37" s="105"/>
      <c r="AJ37" s="105"/>
      <c r="AK37" s="110"/>
      <c r="AL37" s="105"/>
      <c r="AM37" s="105"/>
    </row>
    <row r="38" spans="1:39" ht="14.25" customHeight="1">
      <c r="A38" s="105"/>
      <c r="B38" s="105"/>
      <c r="C38" s="109"/>
      <c r="D38" s="678"/>
      <c r="E38" s="678"/>
      <c r="F38" s="678"/>
      <c r="G38" s="678"/>
      <c r="H38" s="678"/>
      <c r="I38" s="678"/>
      <c r="J38" s="678"/>
      <c r="K38" s="678"/>
      <c r="L38" s="678"/>
      <c r="M38" s="678"/>
      <c r="N38" s="678"/>
      <c r="O38" s="678"/>
      <c r="P38" s="678"/>
      <c r="Q38" s="678"/>
      <c r="R38" s="678"/>
      <c r="S38" s="678"/>
      <c r="T38" s="678"/>
      <c r="U38" s="678"/>
      <c r="V38" s="678"/>
      <c r="W38" s="678"/>
      <c r="X38" s="678"/>
      <c r="Y38" s="678"/>
      <c r="Z38" s="678"/>
      <c r="AA38" s="678"/>
      <c r="AB38" s="678"/>
      <c r="AC38" s="678"/>
      <c r="AD38" s="678"/>
      <c r="AE38" s="105"/>
      <c r="AF38" s="105"/>
      <c r="AG38" s="105"/>
      <c r="AH38" s="105"/>
      <c r="AI38" s="105"/>
      <c r="AJ38" s="105"/>
      <c r="AK38" s="110"/>
      <c r="AL38" s="105"/>
      <c r="AM38" s="105"/>
    </row>
    <row r="39" spans="1:39" ht="11.25" customHeight="1">
      <c r="A39" s="105"/>
      <c r="B39" s="105"/>
      <c r="C39" s="109"/>
      <c r="D39" s="171"/>
      <c r="E39" s="169"/>
      <c r="F39" s="169"/>
      <c r="G39" s="169"/>
      <c r="H39" s="169"/>
      <c r="I39" s="169"/>
      <c r="J39" s="169"/>
      <c r="K39" s="169"/>
      <c r="L39" s="169"/>
      <c r="M39" s="169"/>
      <c r="N39" s="169"/>
      <c r="O39" s="169"/>
      <c r="P39" s="116"/>
      <c r="Q39" s="112"/>
      <c r="R39" s="112"/>
      <c r="S39" s="112"/>
      <c r="T39" s="112"/>
      <c r="U39" s="112"/>
      <c r="V39" s="112"/>
      <c r="W39" s="112"/>
      <c r="X39" s="112"/>
      <c r="Y39" s="112"/>
      <c r="Z39" s="112"/>
      <c r="AA39" s="112"/>
      <c r="AB39" s="112"/>
      <c r="AC39" s="112"/>
      <c r="AD39" s="112"/>
      <c r="AE39" s="112"/>
      <c r="AF39" s="116"/>
      <c r="AG39" s="116"/>
      <c r="AH39" s="116"/>
      <c r="AI39" s="116"/>
      <c r="AJ39" s="116"/>
      <c r="AK39" s="122"/>
      <c r="AL39" s="105"/>
      <c r="AM39" s="105"/>
    </row>
    <row r="40" spans="1:39" ht="14.25" customHeight="1">
      <c r="A40" s="105"/>
      <c r="B40" s="105"/>
      <c r="C40" s="109"/>
      <c r="D40" s="125" t="s">
        <v>181</v>
      </c>
      <c r="E40" s="169"/>
      <c r="F40" s="169"/>
      <c r="G40" s="169"/>
      <c r="H40" s="169"/>
      <c r="I40" s="169"/>
      <c r="J40" s="169"/>
      <c r="K40" s="169"/>
      <c r="L40" s="169"/>
      <c r="M40" s="169"/>
      <c r="N40" s="169"/>
      <c r="O40" s="169"/>
      <c r="P40" s="116"/>
      <c r="Q40" s="112"/>
      <c r="R40" s="112"/>
      <c r="S40" s="112"/>
      <c r="T40" s="112"/>
      <c r="U40" s="112"/>
      <c r="V40" s="112"/>
      <c r="W40" s="112"/>
      <c r="X40" s="112"/>
      <c r="Y40" s="112"/>
      <c r="Z40" s="112"/>
      <c r="AA40" s="112"/>
      <c r="AB40" s="112"/>
      <c r="AC40" s="112"/>
      <c r="AD40" s="112"/>
      <c r="AE40" s="112"/>
      <c r="AF40" s="116"/>
      <c r="AG40" s="116"/>
      <c r="AH40" s="116"/>
      <c r="AI40" s="116"/>
      <c r="AJ40" s="116"/>
      <c r="AK40" s="122"/>
      <c r="AL40" s="105"/>
      <c r="AM40" s="105"/>
    </row>
    <row r="41" spans="1:39" ht="14.25" customHeight="1">
      <c r="A41" s="105"/>
      <c r="B41" s="105"/>
      <c r="C41" s="109"/>
      <c r="D41" s="565" t="s">
        <v>182</v>
      </c>
      <c r="E41" s="565"/>
      <c r="F41" s="565"/>
      <c r="G41" s="565"/>
      <c r="H41" s="565"/>
      <c r="I41" s="565"/>
      <c r="J41" s="565" t="s">
        <v>183</v>
      </c>
      <c r="K41" s="565"/>
      <c r="L41" s="565"/>
      <c r="M41" s="565"/>
      <c r="N41" s="565"/>
      <c r="O41" s="565"/>
      <c r="P41" s="565"/>
      <c r="Q41" s="565"/>
      <c r="R41" s="565"/>
      <c r="S41" s="565"/>
      <c r="T41" s="565"/>
      <c r="U41" s="565"/>
      <c r="V41" s="576"/>
      <c r="W41" s="576"/>
      <c r="X41" s="576"/>
      <c r="Y41" s="576"/>
      <c r="Z41" s="576"/>
      <c r="AA41" s="576"/>
      <c r="AB41" s="576"/>
      <c r="AC41" s="576"/>
      <c r="AD41" s="576"/>
      <c r="AE41" s="576"/>
      <c r="AF41" s="576"/>
      <c r="AG41" s="576"/>
      <c r="AH41" s="576"/>
      <c r="AI41" s="576"/>
      <c r="AJ41" s="576"/>
      <c r="AK41" s="122"/>
      <c r="AL41" s="105"/>
      <c r="AM41" s="105"/>
    </row>
    <row r="42" spans="1:39" ht="14.25" customHeight="1">
      <c r="A42" s="105"/>
      <c r="B42" s="105"/>
      <c r="C42" s="109"/>
      <c r="D42" s="565"/>
      <c r="E42" s="565"/>
      <c r="F42" s="565"/>
      <c r="G42" s="565"/>
      <c r="H42" s="565"/>
      <c r="I42" s="565"/>
      <c r="J42" s="565"/>
      <c r="K42" s="565"/>
      <c r="L42" s="565"/>
      <c r="M42" s="565"/>
      <c r="N42" s="565"/>
      <c r="O42" s="565"/>
      <c r="P42" s="565"/>
      <c r="Q42" s="565"/>
      <c r="R42" s="565"/>
      <c r="S42" s="565"/>
      <c r="T42" s="565"/>
      <c r="U42" s="565"/>
      <c r="V42" s="112"/>
      <c r="W42" s="112"/>
      <c r="X42" s="112"/>
      <c r="Y42" s="112"/>
      <c r="Z42" s="172"/>
      <c r="AA42" s="172"/>
      <c r="AB42" s="172"/>
      <c r="AC42" s="172"/>
      <c r="AD42" s="172"/>
      <c r="AE42" s="172"/>
      <c r="AF42" s="172"/>
      <c r="AG42" s="172"/>
      <c r="AH42" s="172"/>
      <c r="AI42" s="116"/>
      <c r="AJ42" s="116"/>
      <c r="AK42" s="122"/>
      <c r="AL42" s="105"/>
      <c r="AM42" s="105"/>
    </row>
    <row r="43" spans="1:39" ht="9.75" customHeight="1">
      <c r="A43" s="105"/>
      <c r="B43" s="105"/>
      <c r="C43" s="109"/>
      <c r="D43" s="112"/>
      <c r="E43" s="112"/>
      <c r="F43" s="112"/>
      <c r="G43" s="112"/>
      <c r="H43" s="112"/>
      <c r="I43" s="112"/>
      <c r="J43" s="112"/>
      <c r="K43" s="112"/>
      <c r="L43" s="112"/>
      <c r="M43" s="112"/>
      <c r="N43" s="112"/>
      <c r="O43" s="112"/>
      <c r="P43" s="112"/>
      <c r="Q43" s="112"/>
      <c r="R43" s="112"/>
      <c r="S43" s="112"/>
      <c r="T43" s="112"/>
      <c r="U43" s="112"/>
      <c r="V43" s="112"/>
      <c r="W43" s="112"/>
      <c r="X43" s="112"/>
      <c r="Y43" s="112"/>
      <c r="Z43" s="112"/>
      <c r="AA43" s="112"/>
      <c r="AB43" s="112"/>
      <c r="AC43" s="112"/>
      <c r="AD43" s="112"/>
      <c r="AE43" s="112"/>
      <c r="AF43" s="112"/>
      <c r="AG43" s="112"/>
      <c r="AH43" s="112"/>
      <c r="AI43" s="112"/>
      <c r="AJ43" s="112"/>
      <c r="AK43" s="122"/>
      <c r="AL43" s="105"/>
      <c r="AM43" s="105"/>
    </row>
    <row r="44" spans="1:39" ht="14.25" customHeight="1">
      <c r="A44" s="105"/>
      <c r="B44" s="105"/>
      <c r="C44" s="109"/>
      <c r="D44" s="126" t="s">
        <v>184</v>
      </c>
      <c r="E44" s="173"/>
      <c r="F44" s="173"/>
      <c r="G44" s="173"/>
      <c r="H44" s="173"/>
      <c r="I44" s="173"/>
      <c r="J44" s="173"/>
      <c r="K44" s="173"/>
      <c r="L44" s="173"/>
      <c r="M44" s="173"/>
      <c r="N44" s="173"/>
      <c r="O44" s="173"/>
      <c r="P44" s="173"/>
      <c r="Q44" s="173"/>
      <c r="R44" s="173"/>
      <c r="S44" s="173"/>
      <c r="T44" s="173"/>
      <c r="U44" s="173"/>
      <c r="V44" s="173"/>
      <c r="W44" s="173"/>
      <c r="X44" s="173"/>
      <c r="Y44" s="173"/>
      <c r="Z44" s="173"/>
      <c r="AA44" s="173"/>
      <c r="AB44" s="173"/>
      <c r="AC44" s="173"/>
      <c r="AD44" s="173"/>
      <c r="AE44" s="173"/>
      <c r="AF44" s="173"/>
      <c r="AG44" s="173"/>
      <c r="AH44" s="173"/>
      <c r="AI44" s="173"/>
      <c r="AJ44" s="173"/>
      <c r="AK44" s="122"/>
      <c r="AL44" s="105"/>
      <c r="AM44" s="105"/>
    </row>
    <row r="45" spans="1:39" ht="14.25" customHeight="1">
      <c r="A45" s="105"/>
      <c r="B45" s="105"/>
      <c r="C45" s="109"/>
      <c r="D45" s="678" t="s">
        <v>185</v>
      </c>
      <c r="E45" s="678"/>
      <c r="F45" s="678"/>
      <c r="G45" s="678"/>
      <c r="H45" s="678"/>
      <c r="I45" s="678"/>
      <c r="J45" s="471" t="s">
        <v>186</v>
      </c>
      <c r="K45" s="471"/>
      <c r="L45" s="471"/>
      <c r="M45" s="471"/>
      <c r="N45" s="471"/>
      <c r="O45" s="565" t="s">
        <v>187</v>
      </c>
      <c r="P45" s="565"/>
      <c r="Q45" s="565"/>
      <c r="R45" s="565"/>
      <c r="S45" s="565"/>
      <c r="T45" s="565"/>
      <c r="U45" s="565"/>
      <c r="V45" s="174" t="s">
        <v>188</v>
      </c>
      <c r="W45" s="174"/>
      <c r="X45" s="174"/>
      <c r="Y45" s="175"/>
      <c r="Z45" s="176"/>
      <c r="AA45" s="176"/>
      <c r="AB45" s="176"/>
      <c r="AC45" s="176"/>
      <c r="AD45" s="176"/>
      <c r="AE45" s="176"/>
      <c r="AF45" s="148"/>
      <c r="AG45" s="148"/>
      <c r="AH45" s="148"/>
      <c r="AI45" s="148"/>
      <c r="AJ45" s="165"/>
      <c r="AK45" s="122"/>
      <c r="AL45" s="105"/>
      <c r="AM45" s="105"/>
    </row>
    <row r="46" spans="1:39" ht="14.25" customHeight="1">
      <c r="A46" s="105"/>
      <c r="B46" s="105"/>
      <c r="C46" s="109"/>
      <c r="D46" s="678"/>
      <c r="E46" s="678"/>
      <c r="F46" s="678"/>
      <c r="G46" s="678"/>
      <c r="H46" s="678"/>
      <c r="I46" s="678"/>
      <c r="J46" s="471"/>
      <c r="K46" s="471"/>
      <c r="L46" s="471"/>
      <c r="M46" s="471"/>
      <c r="N46" s="471"/>
      <c r="O46" s="565"/>
      <c r="P46" s="565"/>
      <c r="Q46" s="565"/>
      <c r="R46" s="565"/>
      <c r="S46" s="565"/>
      <c r="T46" s="565"/>
      <c r="U46" s="565"/>
      <c r="V46" s="177"/>
      <c r="W46" s="177"/>
      <c r="X46" s="177"/>
      <c r="Y46" s="177"/>
      <c r="Z46" s="177"/>
      <c r="AA46" s="177"/>
      <c r="AB46" s="177"/>
      <c r="AC46" s="177"/>
      <c r="AD46" s="177"/>
      <c r="AE46" s="177"/>
      <c r="AF46" s="135"/>
      <c r="AG46" s="135"/>
      <c r="AH46" s="135"/>
      <c r="AI46" s="135"/>
      <c r="AJ46" s="178"/>
      <c r="AK46" s="122"/>
      <c r="AL46" s="105"/>
      <c r="AM46" s="105"/>
    </row>
    <row r="47" spans="1:39" ht="2.25" customHeight="1">
      <c r="A47" s="105"/>
      <c r="B47" s="105"/>
      <c r="C47" s="109"/>
      <c r="D47" s="162"/>
      <c r="E47" s="132"/>
      <c r="F47" s="132"/>
      <c r="G47" s="132"/>
      <c r="H47" s="132"/>
      <c r="I47" s="132"/>
      <c r="J47" s="179"/>
      <c r="K47" s="179"/>
      <c r="L47" s="179"/>
      <c r="M47" s="179"/>
      <c r="N47" s="179"/>
      <c r="O47" s="167"/>
      <c r="P47" s="167"/>
      <c r="Q47" s="167"/>
      <c r="R47" s="167"/>
      <c r="S47" s="167"/>
      <c r="T47" s="167"/>
      <c r="U47" s="167"/>
      <c r="V47" s="160"/>
      <c r="W47" s="160"/>
      <c r="X47" s="160"/>
      <c r="Y47" s="160"/>
      <c r="Z47" s="160"/>
      <c r="AA47" s="160"/>
      <c r="AB47" s="160"/>
      <c r="AC47" s="160"/>
      <c r="AD47" s="160"/>
      <c r="AE47" s="160"/>
      <c r="AF47" s="116"/>
      <c r="AG47" s="116"/>
      <c r="AH47" s="116"/>
      <c r="AI47" s="116"/>
      <c r="AJ47" s="116"/>
      <c r="AK47" s="122"/>
      <c r="AL47" s="105"/>
      <c r="AM47" s="105"/>
    </row>
    <row r="48" spans="1:39" ht="57.75" customHeight="1">
      <c r="A48" s="105"/>
      <c r="B48" s="105"/>
      <c r="C48" s="109"/>
      <c r="D48" s="180" t="s">
        <v>129</v>
      </c>
      <c r="E48" s="681" t="s">
        <v>189</v>
      </c>
      <c r="F48" s="681"/>
      <c r="G48" s="681"/>
      <c r="H48" s="681"/>
      <c r="I48" s="681"/>
      <c r="J48" s="681"/>
      <c r="K48" s="681"/>
      <c r="L48" s="681"/>
      <c r="M48" s="681"/>
      <c r="N48" s="681"/>
      <c r="O48" s="681"/>
      <c r="P48" s="681"/>
      <c r="Q48" s="681"/>
      <c r="R48" s="681"/>
      <c r="S48" s="681"/>
      <c r="T48" s="681"/>
      <c r="U48" s="681"/>
      <c r="V48" s="681"/>
      <c r="W48" s="681"/>
      <c r="X48" s="681"/>
      <c r="Y48" s="681"/>
      <c r="Z48" s="681"/>
      <c r="AA48" s="681"/>
      <c r="AB48" s="681"/>
      <c r="AC48" s="681"/>
      <c r="AD48" s="681"/>
      <c r="AE48" s="681"/>
      <c r="AF48" s="681"/>
      <c r="AG48" s="681"/>
      <c r="AH48" s="681"/>
      <c r="AI48" s="681"/>
      <c r="AJ48" s="681"/>
      <c r="AK48" s="181"/>
      <c r="AL48" s="105"/>
      <c r="AM48" s="105"/>
    </row>
    <row r="49" spans="1:39" ht="14.25" customHeight="1">
      <c r="A49" s="105"/>
      <c r="B49" s="105"/>
      <c r="C49" s="109"/>
      <c r="D49" s="134" t="s">
        <v>190</v>
      </c>
      <c r="E49" s="135"/>
      <c r="F49" s="136"/>
      <c r="G49" s="136"/>
      <c r="H49" s="137"/>
      <c r="I49" s="137"/>
      <c r="J49" s="137"/>
      <c r="K49" s="137"/>
      <c r="L49" s="137"/>
      <c r="M49" s="137"/>
      <c r="N49" s="137"/>
      <c r="O49" s="138"/>
      <c r="P49" s="137"/>
      <c r="Q49" s="137"/>
      <c r="R49" s="137"/>
      <c r="S49" s="135"/>
      <c r="T49" s="136"/>
      <c r="U49" s="136"/>
      <c r="V49" s="136"/>
      <c r="W49" s="136"/>
      <c r="X49" s="136"/>
      <c r="Y49" s="136"/>
      <c r="Z49" s="136"/>
      <c r="AA49" s="136"/>
      <c r="AB49" s="136"/>
      <c r="AC49" s="137"/>
      <c r="AD49" s="137"/>
      <c r="AE49" s="137"/>
      <c r="AF49" s="137"/>
      <c r="AG49" s="137"/>
      <c r="AH49" s="137"/>
      <c r="AI49" s="137"/>
      <c r="AJ49" s="137"/>
      <c r="AK49" s="110"/>
      <c r="AL49" s="105"/>
      <c r="AM49" s="105"/>
    </row>
    <row r="50" spans="1:39" ht="14.25" customHeight="1">
      <c r="A50" s="105"/>
      <c r="B50" s="105"/>
      <c r="C50" s="109"/>
      <c r="D50" s="511" t="s">
        <v>139</v>
      </c>
      <c r="E50" s="511"/>
      <c r="F50" s="511"/>
      <c r="G50" s="511"/>
      <c r="H50" s="512" t="s">
        <v>191</v>
      </c>
      <c r="I50" s="513"/>
      <c r="J50" s="513"/>
      <c r="K50" s="513"/>
      <c r="L50" s="513"/>
      <c r="M50" s="513"/>
      <c r="N50" s="513"/>
      <c r="O50" s="513"/>
      <c r="P50" s="513"/>
      <c r="Q50" s="513"/>
      <c r="R50" s="513"/>
      <c r="S50" s="513"/>
      <c r="T50" s="513"/>
      <c r="U50" s="513"/>
      <c r="V50" s="513"/>
      <c r="W50" s="514"/>
      <c r="X50" s="521" t="s">
        <v>140</v>
      </c>
      <c r="Y50" s="522"/>
      <c r="Z50" s="522"/>
      <c r="AA50" s="522"/>
      <c r="AB50" s="522"/>
      <c r="AC50" s="523"/>
      <c r="AD50" s="453"/>
      <c r="AE50" s="454"/>
      <c r="AF50" s="454"/>
      <c r="AG50" s="454"/>
      <c r="AH50" s="454"/>
      <c r="AI50" s="454"/>
      <c r="AJ50" s="455"/>
      <c r="AK50" s="110"/>
      <c r="AL50" s="105"/>
      <c r="AM50" s="105"/>
    </row>
    <row r="51" spans="1:39" ht="14.25" customHeight="1">
      <c r="A51" s="105"/>
      <c r="B51" s="105"/>
      <c r="C51" s="109"/>
      <c r="D51" s="511"/>
      <c r="E51" s="511"/>
      <c r="F51" s="511"/>
      <c r="G51" s="511"/>
      <c r="H51" s="518"/>
      <c r="I51" s="519"/>
      <c r="J51" s="519"/>
      <c r="K51" s="519"/>
      <c r="L51" s="519"/>
      <c r="M51" s="519"/>
      <c r="N51" s="519"/>
      <c r="O51" s="519"/>
      <c r="P51" s="519"/>
      <c r="Q51" s="519"/>
      <c r="R51" s="519"/>
      <c r="S51" s="519"/>
      <c r="T51" s="519"/>
      <c r="U51" s="519"/>
      <c r="V51" s="519"/>
      <c r="W51" s="520"/>
      <c r="X51" s="527"/>
      <c r="Y51" s="528"/>
      <c r="Z51" s="528"/>
      <c r="AA51" s="528"/>
      <c r="AB51" s="528"/>
      <c r="AC51" s="529"/>
      <c r="AD51" s="459"/>
      <c r="AE51" s="460"/>
      <c r="AF51" s="460"/>
      <c r="AG51" s="460"/>
      <c r="AH51" s="460"/>
      <c r="AI51" s="460"/>
      <c r="AJ51" s="461"/>
      <c r="AK51" s="110"/>
      <c r="AL51" s="105"/>
      <c r="AM51" s="105"/>
    </row>
    <row r="52" spans="1:39" ht="14.25" customHeight="1">
      <c r="A52" s="105"/>
      <c r="B52" s="105"/>
      <c r="C52" s="109"/>
      <c r="D52" s="511" t="s">
        <v>127</v>
      </c>
      <c r="E52" s="511"/>
      <c r="F52" s="511"/>
      <c r="G52" s="511"/>
      <c r="H52" s="453"/>
      <c r="I52" s="454"/>
      <c r="J52" s="454"/>
      <c r="K52" s="454"/>
      <c r="L52" s="454"/>
      <c r="M52" s="454"/>
      <c r="N52" s="454"/>
      <c r="O52" s="454"/>
      <c r="P52" s="454"/>
      <c r="Q52" s="454"/>
      <c r="R52" s="454"/>
      <c r="S52" s="454"/>
      <c r="T52" s="454"/>
      <c r="U52" s="454"/>
      <c r="V52" s="454"/>
      <c r="W52" s="454"/>
      <c r="X52" s="454"/>
      <c r="Y52" s="454"/>
      <c r="Z52" s="454"/>
      <c r="AA52" s="454"/>
      <c r="AB52" s="454"/>
      <c r="AC52" s="454"/>
      <c r="AD52" s="454"/>
      <c r="AE52" s="454"/>
      <c r="AF52" s="454"/>
      <c r="AG52" s="454"/>
      <c r="AH52" s="454"/>
      <c r="AI52" s="454"/>
      <c r="AJ52" s="455"/>
      <c r="AK52" s="122"/>
      <c r="AL52" s="105"/>
      <c r="AM52" s="105"/>
    </row>
    <row r="53" spans="1:39" ht="14.25" customHeight="1">
      <c r="A53" s="105"/>
      <c r="B53" s="105"/>
      <c r="C53" s="109"/>
      <c r="D53" s="511"/>
      <c r="E53" s="511"/>
      <c r="F53" s="511"/>
      <c r="G53" s="511"/>
      <c r="H53" s="459"/>
      <c r="I53" s="460"/>
      <c r="J53" s="460"/>
      <c r="K53" s="460"/>
      <c r="L53" s="460"/>
      <c r="M53" s="460"/>
      <c r="N53" s="460"/>
      <c r="O53" s="460"/>
      <c r="P53" s="460"/>
      <c r="Q53" s="460"/>
      <c r="R53" s="460"/>
      <c r="S53" s="460"/>
      <c r="T53" s="460"/>
      <c r="U53" s="460"/>
      <c r="V53" s="460"/>
      <c r="W53" s="460"/>
      <c r="X53" s="460"/>
      <c r="Y53" s="460"/>
      <c r="Z53" s="460"/>
      <c r="AA53" s="460"/>
      <c r="AB53" s="460"/>
      <c r="AC53" s="460"/>
      <c r="AD53" s="460"/>
      <c r="AE53" s="460"/>
      <c r="AF53" s="460"/>
      <c r="AG53" s="460"/>
      <c r="AH53" s="460"/>
      <c r="AI53" s="460"/>
      <c r="AJ53" s="461"/>
      <c r="AK53" s="122"/>
      <c r="AL53" s="105"/>
      <c r="AM53" s="105"/>
    </row>
    <row r="54" spans="1:39" ht="14.25" customHeight="1">
      <c r="A54" s="105"/>
      <c r="B54" s="105"/>
      <c r="C54" s="109"/>
      <c r="D54" s="462" t="s">
        <v>128</v>
      </c>
      <c r="E54" s="463"/>
      <c r="F54" s="463"/>
      <c r="G54" s="464"/>
      <c r="H54" s="484"/>
      <c r="I54" s="485"/>
      <c r="J54" s="485"/>
      <c r="K54" s="485"/>
      <c r="L54" s="485"/>
      <c r="M54" s="485"/>
      <c r="N54" s="485"/>
      <c r="O54" s="485"/>
      <c r="P54" s="485"/>
      <c r="Q54" s="485"/>
      <c r="R54" s="485"/>
      <c r="S54" s="485"/>
      <c r="T54" s="485"/>
      <c r="U54" s="485"/>
      <c r="V54" s="485"/>
      <c r="W54" s="485"/>
      <c r="X54" s="485"/>
      <c r="Y54" s="485"/>
      <c r="Z54" s="485"/>
      <c r="AA54" s="485"/>
      <c r="AB54" s="485"/>
      <c r="AC54" s="485"/>
      <c r="AD54" s="485"/>
      <c r="AE54" s="485"/>
      <c r="AF54" s="485"/>
      <c r="AG54" s="485"/>
      <c r="AH54" s="485"/>
      <c r="AI54" s="485"/>
      <c r="AJ54" s="486"/>
      <c r="AK54" s="123"/>
      <c r="AL54" s="105"/>
      <c r="AM54" s="105"/>
    </row>
    <row r="55" spans="1:39" ht="14.25" customHeight="1">
      <c r="A55" s="105"/>
      <c r="B55" s="105"/>
      <c r="C55" s="109"/>
      <c r="D55" s="468"/>
      <c r="E55" s="469"/>
      <c r="F55" s="469"/>
      <c r="G55" s="470"/>
      <c r="H55" s="490"/>
      <c r="I55" s="491"/>
      <c r="J55" s="491"/>
      <c r="K55" s="491"/>
      <c r="L55" s="491"/>
      <c r="M55" s="491"/>
      <c r="N55" s="491"/>
      <c r="O55" s="491"/>
      <c r="P55" s="491"/>
      <c r="Q55" s="491"/>
      <c r="R55" s="491"/>
      <c r="S55" s="491"/>
      <c r="T55" s="491"/>
      <c r="U55" s="491"/>
      <c r="V55" s="491"/>
      <c r="W55" s="491"/>
      <c r="X55" s="491"/>
      <c r="Y55" s="491"/>
      <c r="Z55" s="491"/>
      <c r="AA55" s="491"/>
      <c r="AB55" s="491"/>
      <c r="AC55" s="491"/>
      <c r="AD55" s="491"/>
      <c r="AE55" s="491"/>
      <c r="AF55" s="491"/>
      <c r="AG55" s="491"/>
      <c r="AH55" s="491"/>
      <c r="AI55" s="491"/>
      <c r="AJ55" s="492"/>
      <c r="AK55" s="123"/>
      <c r="AL55" s="105"/>
      <c r="AM55" s="105"/>
    </row>
    <row r="56" spans="1:39" ht="14.25" customHeight="1">
      <c r="A56" s="105"/>
      <c r="B56" s="105"/>
      <c r="C56" s="109"/>
      <c r="D56" s="724"/>
      <c r="E56" s="725"/>
      <c r="F56" s="725"/>
      <c r="G56" s="725"/>
      <c r="H56" s="725"/>
      <c r="I56" s="725"/>
      <c r="J56" s="725"/>
      <c r="K56" s="725"/>
      <c r="L56" s="725"/>
      <c r="M56" s="725"/>
      <c r="N56" s="725"/>
      <c r="O56" s="725"/>
      <c r="P56" s="725"/>
      <c r="Q56" s="725"/>
      <c r="R56" s="725"/>
      <c r="S56" s="725"/>
      <c r="T56" s="725"/>
      <c r="U56" s="725"/>
      <c r="V56" s="725"/>
      <c r="W56" s="725"/>
      <c r="X56" s="725"/>
      <c r="Y56" s="725"/>
      <c r="Z56" s="725"/>
      <c r="AA56" s="725"/>
      <c r="AB56" s="725"/>
      <c r="AC56" s="725"/>
      <c r="AD56" s="725"/>
      <c r="AE56" s="725"/>
      <c r="AF56" s="725"/>
      <c r="AG56" s="725"/>
      <c r="AH56" s="725"/>
      <c r="AI56" s="725"/>
      <c r="AJ56" s="725"/>
      <c r="AK56" s="142"/>
      <c r="AL56" s="105"/>
      <c r="AM56" s="105"/>
    </row>
    <row r="57" spans="1:39" ht="5.25" customHeight="1">
      <c r="A57" s="105"/>
      <c r="B57" s="105"/>
      <c r="C57" s="109"/>
      <c r="D57" s="182"/>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2"/>
      <c r="AL57" s="105"/>
      <c r="AM57" s="105"/>
    </row>
    <row r="58" spans="1:39" ht="14.25" customHeight="1">
      <c r="C58" s="111"/>
      <c r="D58" s="125" t="s">
        <v>192</v>
      </c>
      <c r="E58" s="112"/>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44"/>
    </row>
    <row r="59" spans="1:39" ht="14.25" customHeight="1">
      <c r="C59" s="111"/>
      <c r="D59" s="679" t="s">
        <v>193</v>
      </c>
      <c r="E59" s="679"/>
      <c r="F59" s="679"/>
      <c r="G59" s="679"/>
      <c r="H59" s="679"/>
      <c r="I59" s="679"/>
      <c r="J59" s="679"/>
      <c r="K59" s="679"/>
      <c r="L59" s="679"/>
      <c r="M59" s="679"/>
      <c r="N59" s="679"/>
      <c r="O59" s="679"/>
      <c r="P59" s="679"/>
      <c r="Q59" s="679"/>
      <c r="R59" s="679"/>
      <c r="S59" s="679"/>
      <c r="T59" s="679" t="s">
        <v>194</v>
      </c>
      <c r="U59" s="679"/>
      <c r="V59" s="679"/>
      <c r="W59" s="679"/>
      <c r="X59" s="679"/>
      <c r="Y59" s="679"/>
      <c r="Z59" s="679"/>
      <c r="AA59" s="679"/>
      <c r="AB59" s="679"/>
      <c r="AC59" s="679"/>
      <c r="AD59" s="679"/>
      <c r="AE59" s="679"/>
      <c r="AF59" s="679"/>
      <c r="AG59" s="679"/>
      <c r="AH59" s="679"/>
      <c r="AI59" s="679"/>
      <c r="AJ59" s="679"/>
      <c r="AK59" s="144"/>
    </row>
    <row r="60" spans="1:39" ht="14.25" customHeight="1">
      <c r="C60" s="111"/>
      <c r="D60" s="505"/>
      <c r="E60" s="506"/>
      <c r="F60" s="506"/>
      <c r="G60" s="506"/>
      <c r="H60" s="506"/>
      <c r="I60" s="506"/>
      <c r="J60" s="506"/>
      <c r="K60" s="506"/>
      <c r="L60" s="506"/>
      <c r="M60" s="506"/>
      <c r="N60" s="506"/>
      <c r="O60" s="506"/>
      <c r="P60" s="506"/>
      <c r="Q60" s="506"/>
      <c r="R60" s="506"/>
      <c r="S60" s="507"/>
      <c r="T60" s="505" t="s">
        <v>195</v>
      </c>
      <c r="U60" s="506"/>
      <c r="V60" s="506"/>
      <c r="W60" s="506"/>
      <c r="X60" s="506"/>
      <c r="Y60" s="506"/>
      <c r="Z60" s="506"/>
      <c r="AA60" s="506"/>
      <c r="AB60" s="506"/>
      <c r="AC60" s="506"/>
      <c r="AD60" s="506"/>
      <c r="AE60" s="506"/>
      <c r="AF60" s="506"/>
      <c r="AG60" s="506"/>
      <c r="AH60" s="506"/>
      <c r="AI60" s="506"/>
      <c r="AJ60" s="507"/>
      <c r="AK60" s="144"/>
    </row>
    <row r="61" spans="1:39" ht="14.25" customHeight="1">
      <c r="C61" s="111"/>
      <c r="D61" s="508"/>
      <c r="E61" s="509"/>
      <c r="F61" s="509"/>
      <c r="G61" s="509"/>
      <c r="H61" s="509"/>
      <c r="I61" s="509"/>
      <c r="J61" s="509"/>
      <c r="K61" s="509"/>
      <c r="L61" s="509"/>
      <c r="M61" s="509"/>
      <c r="N61" s="509"/>
      <c r="O61" s="509"/>
      <c r="P61" s="509"/>
      <c r="Q61" s="509"/>
      <c r="R61" s="509"/>
      <c r="S61" s="510"/>
      <c r="T61" s="508"/>
      <c r="U61" s="509"/>
      <c r="V61" s="509"/>
      <c r="W61" s="509"/>
      <c r="X61" s="509"/>
      <c r="Y61" s="509"/>
      <c r="Z61" s="509"/>
      <c r="AA61" s="509"/>
      <c r="AB61" s="509"/>
      <c r="AC61" s="509"/>
      <c r="AD61" s="509"/>
      <c r="AE61" s="509"/>
      <c r="AF61" s="509"/>
      <c r="AG61" s="509"/>
      <c r="AH61" s="509"/>
      <c r="AI61" s="509"/>
      <c r="AJ61" s="510"/>
      <c r="AK61" s="144"/>
    </row>
    <row r="62" spans="1:39" ht="14.25" customHeight="1">
      <c r="C62" s="111"/>
      <c r="D62" s="718" t="s">
        <v>160</v>
      </c>
      <c r="E62" s="719"/>
      <c r="F62" s="679" t="s">
        <v>196</v>
      </c>
      <c r="G62" s="679"/>
      <c r="H62" s="679"/>
      <c r="I62" s="679"/>
      <c r="J62" s="679"/>
      <c r="K62" s="679"/>
      <c r="L62" s="679"/>
      <c r="M62" s="679"/>
      <c r="N62" s="679"/>
      <c r="O62" s="679"/>
      <c r="P62" s="679" t="s">
        <v>197</v>
      </c>
      <c r="Q62" s="679"/>
      <c r="R62" s="679"/>
      <c r="S62" s="679"/>
      <c r="T62" s="679"/>
      <c r="U62" s="679"/>
      <c r="V62" s="679"/>
      <c r="W62" s="679"/>
      <c r="X62" s="679"/>
      <c r="Y62" s="679"/>
      <c r="Z62" s="679"/>
      <c r="AA62" s="679" t="s">
        <v>198</v>
      </c>
      <c r="AB62" s="679"/>
      <c r="AC62" s="679"/>
      <c r="AD62" s="679"/>
      <c r="AE62" s="679"/>
      <c r="AF62" s="679"/>
      <c r="AG62" s="679"/>
      <c r="AH62" s="679"/>
      <c r="AI62" s="679"/>
      <c r="AJ62" s="679"/>
      <c r="AK62" s="144"/>
    </row>
    <row r="63" spans="1:39" ht="14.25" customHeight="1">
      <c r="C63" s="111"/>
      <c r="D63" s="720"/>
      <c r="E63" s="721"/>
      <c r="F63" s="472" t="s">
        <v>199</v>
      </c>
      <c r="G63" s="473"/>
      <c r="H63" s="473"/>
      <c r="I63" s="473"/>
      <c r="J63" s="473"/>
      <c r="K63" s="473"/>
      <c r="L63" s="473"/>
      <c r="M63" s="473"/>
      <c r="N63" s="473"/>
      <c r="O63" s="474"/>
      <c r="P63" s="472" t="s">
        <v>199</v>
      </c>
      <c r="Q63" s="473"/>
      <c r="R63" s="473"/>
      <c r="S63" s="473"/>
      <c r="T63" s="473"/>
      <c r="U63" s="473"/>
      <c r="V63" s="473"/>
      <c r="W63" s="473"/>
      <c r="X63" s="473"/>
      <c r="Y63" s="473"/>
      <c r="Z63" s="474"/>
      <c r="AA63" s="679" t="s">
        <v>200</v>
      </c>
      <c r="AB63" s="679"/>
      <c r="AC63" s="679"/>
      <c r="AD63" s="679"/>
      <c r="AE63" s="679"/>
      <c r="AF63" s="679"/>
      <c r="AG63" s="679"/>
      <c r="AH63" s="679"/>
      <c r="AI63" s="679"/>
      <c r="AJ63" s="679"/>
      <c r="AK63" s="144"/>
    </row>
    <row r="64" spans="1:39" ht="14.25" customHeight="1">
      <c r="C64" s="111"/>
      <c r="D64" s="720"/>
      <c r="E64" s="721"/>
      <c r="F64" s="680"/>
      <c r="G64" s="476"/>
      <c r="H64" s="476"/>
      <c r="I64" s="476"/>
      <c r="J64" s="476"/>
      <c r="K64" s="476"/>
      <c r="L64" s="476"/>
      <c r="M64" s="476"/>
      <c r="N64" s="476"/>
      <c r="O64" s="477"/>
      <c r="P64" s="680"/>
      <c r="Q64" s="476"/>
      <c r="R64" s="476"/>
      <c r="S64" s="476"/>
      <c r="T64" s="476"/>
      <c r="U64" s="476"/>
      <c r="V64" s="476"/>
      <c r="W64" s="476"/>
      <c r="X64" s="476"/>
      <c r="Y64" s="476"/>
      <c r="Z64" s="477"/>
      <c r="AA64" s="679"/>
      <c r="AB64" s="679"/>
      <c r="AC64" s="679"/>
      <c r="AD64" s="679"/>
      <c r="AE64" s="679"/>
      <c r="AF64" s="679"/>
      <c r="AG64" s="679"/>
      <c r="AH64" s="679"/>
      <c r="AI64" s="679"/>
      <c r="AJ64" s="679"/>
      <c r="AK64" s="144"/>
    </row>
    <row r="65" spans="3:37" ht="14.25" customHeight="1">
      <c r="C65" s="111"/>
      <c r="D65" s="720"/>
      <c r="E65" s="721"/>
      <c r="F65" s="496" t="s">
        <v>201</v>
      </c>
      <c r="G65" s="497"/>
      <c r="H65" s="497"/>
      <c r="I65" s="497"/>
      <c r="J65" s="497"/>
      <c r="K65" s="497"/>
      <c r="L65" s="497"/>
      <c r="M65" s="497"/>
      <c r="N65" s="497"/>
      <c r="O65" s="497"/>
      <c r="P65" s="497"/>
      <c r="Q65" s="497"/>
      <c r="R65" s="497"/>
      <c r="S65" s="497"/>
      <c r="T65" s="497"/>
      <c r="U65" s="497"/>
      <c r="V65" s="497"/>
      <c r="W65" s="497"/>
      <c r="X65" s="497"/>
      <c r="Y65" s="497"/>
      <c r="Z65" s="497"/>
      <c r="AA65" s="497"/>
      <c r="AB65" s="497"/>
      <c r="AC65" s="497"/>
      <c r="AD65" s="497"/>
      <c r="AE65" s="497"/>
      <c r="AF65" s="497"/>
      <c r="AG65" s="497"/>
      <c r="AH65" s="497"/>
      <c r="AI65" s="497"/>
      <c r="AJ65" s="498"/>
      <c r="AK65" s="144"/>
    </row>
    <row r="66" spans="3:37" ht="14.25" customHeight="1">
      <c r="C66" s="111"/>
      <c r="D66" s="720"/>
      <c r="E66" s="721"/>
      <c r="F66" s="505"/>
      <c r="G66" s="506"/>
      <c r="H66" s="506"/>
      <c r="I66" s="506"/>
      <c r="J66" s="506"/>
      <c r="K66" s="506"/>
      <c r="L66" s="506"/>
      <c r="M66" s="506"/>
      <c r="N66" s="506"/>
      <c r="O66" s="506"/>
      <c r="P66" s="506"/>
      <c r="Q66" s="506"/>
      <c r="R66" s="506"/>
      <c r="S66" s="506"/>
      <c r="T66" s="506"/>
      <c r="U66" s="506"/>
      <c r="V66" s="506"/>
      <c r="W66" s="506"/>
      <c r="X66" s="506"/>
      <c r="Y66" s="506"/>
      <c r="Z66" s="506"/>
      <c r="AA66" s="506"/>
      <c r="AB66" s="506"/>
      <c r="AC66" s="506"/>
      <c r="AD66" s="506"/>
      <c r="AE66" s="506"/>
      <c r="AF66" s="506"/>
      <c r="AG66" s="506"/>
      <c r="AH66" s="506"/>
      <c r="AI66" s="506"/>
      <c r="AJ66" s="507"/>
      <c r="AK66" s="144"/>
    </row>
    <row r="67" spans="3:37" ht="14.25" customHeight="1">
      <c r="C67" s="111"/>
      <c r="D67" s="722"/>
      <c r="E67" s="723"/>
      <c r="F67" s="508"/>
      <c r="G67" s="509"/>
      <c r="H67" s="509"/>
      <c r="I67" s="509"/>
      <c r="J67" s="509"/>
      <c r="K67" s="509"/>
      <c r="L67" s="509"/>
      <c r="M67" s="509"/>
      <c r="N67" s="509"/>
      <c r="O67" s="509"/>
      <c r="P67" s="509"/>
      <c r="Q67" s="509"/>
      <c r="R67" s="509"/>
      <c r="S67" s="509"/>
      <c r="T67" s="509"/>
      <c r="U67" s="509"/>
      <c r="V67" s="509"/>
      <c r="W67" s="509"/>
      <c r="X67" s="509"/>
      <c r="Y67" s="509"/>
      <c r="Z67" s="509"/>
      <c r="AA67" s="509"/>
      <c r="AB67" s="509"/>
      <c r="AC67" s="509"/>
      <c r="AD67" s="509"/>
      <c r="AE67" s="509"/>
      <c r="AF67" s="509"/>
      <c r="AG67" s="509"/>
      <c r="AH67" s="509"/>
      <c r="AI67" s="509"/>
      <c r="AJ67" s="510"/>
      <c r="AK67" s="144"/>
    </row>
    <row r="68" spans="3:37" ht="14.25" customHeight="1">
      <c r="C68" s="111"/>
      <c r="D68" s="125" t="s">
        <v>144</v>
      </c>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44"/>
    </row>
    <row r="69" spans="3:37" ht="6.75" customHeight="1">
      <c r="C69" s="145"/>
      <c r="D69" s="137"/>
      <c r="E69" s="137"/>
      <c r="F69" s="137"/>
      <c r="G69" s="137"/>
      <c r="H69" s="137"/>
      <c r="I69" s="137"/>
      <c r="J69" s="137"/>
      <c r="K69" s="137"/>
      <c r="L69" s="137"/>
      <c r="M69" s="137"/>
      <c r="N69" s="137"/>
      <c r="O69" s="137"/>
      <c r="P69" s="137"/>
      <c r="Q69" s="137"/>
      <c r="R69" s="137"/>
      <c r="S69" s="137"/>
      <c r="T69" s="137"/>
      <c r="U69" s="137"/>
      <c r="V69" s="137"/>
      <c r="W69" s="137"/>
      <c r="X69" s="137"/>
      <c r="Y69" s="137"/>
      <c r="Z69" s="137"/>
      <c r="AA69" s="137"/>
      <c r="AB69" s="137"/>
      <c r="AC69" s="137"/>
      <c r="AD69" s="137"/>
      <c r="AE69" s="137"/>
      <c r="AF69" s="137"/>
      <c r="AG69" s="137"/>
      <c r="AH69" s="137"/>
      <c r="AI69" s="137"/>
      <c r="AJ69" s="137"/>
      <c r="AK69" s="147"/>
    </row>
    <row r="70" spans="3:37" ht="6.75" customHeight="1">
      <c r="D70" s="183"/>
      <c r="E70" s="183"/>
      <c r="F70" s="183"/>
      <c r="G70" s="183"/>
      <c r="H70" s="183"/>
      <c r="I70" s="183"/>
      <c r="J70" s="183"/>
      <c r="K70" s="183"/>
      <c r="L70" s="183"/>
      <c r="M70" s="183"/>
      <c r="N70" s="183"/>
      <c r="O70" s="183"/>
      <c r="P70" s="183"/>
      <c r="Q70" s="183"/>
      <c r="R70" s="183"/>
      <c r="S70" s="183"/>
      <c r="T70" s="183"/>
      <c r="U70" s="183"/>
      <c r="V70" s="183"/>
      <c r="W70" s="183"/>
      <c r="X70" s="183"/>
      <c r="Y70" s="183"/>
      <c r="Z70" s="183"/>
      <c r="AA70" s="183"/>
      <c r="AB70" s="183"/>
      <c r="AC70" s="183"/>
      <c r="AD70" s="183"/>
      <c r="AE70" s="183"/>
      <c r="AF70" s="183"/>
      <c r="AG70" s="183"/>
      <c r="AH70" s="183"/>
      <c r="AI70" s="183"/>
      <c r="AJ70" s="183"/>
    </row>
    <row r="71" spans="3:37" ht="14.25" customHeight="1">
      <c r="D71" s="183"/>
      <c r="E71" s="183"/>
      <c r="F71" s="183"/>
      <c r="G71" s="183"/>
      <c r="H71" s="183"/>
      <c r="I71" s="183"/>
      <c r="J71" s="183"/>
      <c r="K71" s="183"/>
      <c r="L71" s="183"/>
      <c r="M71" s="183"/>
      <c r="N71" s="183"/>
      <c r="O71" s="183"/>
      <c r="P71" s="183"/>
      <c r="Q71" s="183"/>
      <c r="R71" s="183"/>
      <c r="S71" s="183"/>
      <c r="T71" s="183"/>
      <c r="U71" s="183"/>
      <c r="V71" s="183"/>
      <c r="W71" s="183"/>
      <c r="X71" s="183"/>
      <c r="Y71" s="183"/>
      <c r="Z71" s="183"/>
      <c r="AA71" s="183"/>
      <c r="AB71" s="183"/>
      <c r="AC71" s="183"/>
      <c r="AD71" s="183"/>
      <c r="AE71" s="183"/>
      <c r="AF71" s="183"/>
      <c r="AG71" s="183"/>
      <c r="AH71" s="183"/>
      <c r="AI71" s="183"/>
      <c r="AJ71" s="183"/>
    </row>
    <row r="72" spans="3:37" ht="14.25" customHeight="1">
      <c r="D72" s="183"/>
      <c r="E72" s="183"/>
      <c r="F72" s="183"/>
      <c r="G72" s="183"/>
      <c r="H72" s="183"/>
      <c r="I72" s="183"/>
      <c r="J72" s="183"/>
      <c r="K72" s="183"/>
      <c r="L72" s="183"/>
      <c r="M72" s="183"/>
      <c r="N72" s="183"/>
      <c r="O72" s="183"/>
      <c r="P72" s="183"/>
      <c r="Q72" s="183"/>
      <c r="R72" s="183"/>
      <c r="S72" s="183"/>
      <c r="T72" s="183"/>
      <c r="U72" s="183"/>
      <c r="V72" s="183"/>
      <c r="W72" s="183"/>
      <c r="X72" s="183"/>
      <c r="Y72" s="183"/>
      <c r="Z72" s="183"/>
      <c r="AA72" s="183"/>
      <c r="AB72" s="183"/>
      <c r="AC72" s="183"/>
      <c r="AD72" s="183"/>
      <c r="AE72" s="183"/>
      <c r="AF72" s="183"/>
      <c r="AG72" s="183"/>
      <c r="AH72" s="183"/>
      <c r="AI72" s="183"/>
      <c r="AJ72" s="183"/>
    </row>
    <row r="73" spans="3:37" ht="14.25" customHeight="1">
      <c r="D73" s="183"/>
      <c r="E73" s="183"/>
      <c r="F73" s="183"/>
      <c r="G73" s="183"/>
      <c r="H73" s="183"/>
      <c r="I73" s="183"/>
      <c r="J73" s="183"/>
      <c r="K73" s="183"/>
      <c r="L73" s="183"/>
      <c r="M73" s="183"/>
      <c r="N73" s="183"/>
      <c r="O73" s="183"/>
      <c r="P73" s="183"/>
      <c r="Q73" s="183"/>
      <c r="R73" s="183"/>
      <c r="S73" s="183"/>
      <c r="T73" s="183"/>
      <c r="U73" s="183"/>
      <c r="V73" s="183"/>
      <c r="W73" s="183"/>
      <c r="X73" s="183"/>
      <c r="Y73" s="183"/>
      <c r="Z73" s="183"/>
      <c r="AA73" s="183"/>
      <c r="AB73" s="183"/>
      <c r="AC73" s="183"/>
      <c r="AD73" s="183"/>
      <c r="AE73" s="183"/>
      <c r="AF73" s="183"/>
      <c r="AG73" s="183"/>
      <c r="AH73" s="183"/>
      <c r="AI73" s="183"/>
      <c r="AJ73" s="183"/>
    </row>
    <row r="74" spans="3:37" ht="14.25" customHeight="1">
      <c r="D74" s="183"/>
      <c r="E74" s="183"/>
      <c r="F74" s="183"/>
      <c r="G74" s="183"/>
      <c r="H74" s="183"/>
      <c r="I74" s="183"/>
      <c r="J74" s="183"/>
      <c r="K74" s="183"/>
      <c r="L74" s="183"/>
      <c r="M74" s="183"/>
      <c r="N74" s="183"/>
      <c r="O74" s="183"/>
      <c r="P74" s="183"/>
      <c r="Q74" s="183"/>
      <c r="R74" s="183"/>
      <c r="S74" s="183"/>
      <c r="T74" s="183"/>
      <c r="U74" s="183"/>
      <c r="V74" s="183"/>
      <c r="W74" s="183"/>
      <c r="X74" s="183"/>
      <c r="Y74" s="183"/>
      <c r="Z74" s="183"/>
      <c r="AA74" s="183"/>
      <c r="AB74" s="183"/>
      <c r="AC74" s="183"/>
      <c r="AD74" s="183"/>
      <c r="AE74" s="183"/>
      <c r="AF74" s="183"/>
      <c r="AG74" s="183"/>
      <c r="AH74" s="183"/>
      <c r="AI74" s="183"/>
      <c r="AJ74" s="183"/>
    </row>
    <row r="75" spans="3:37" ht="14.25" customHeight="1"/>
    <row r="76" spans="3:37" ht="14.25" customHeight="1"/>
    <row r="77" spans="3:37" ht="14.25" customHeight="1"/>
    <row r="80" spans="3:37">
      <c r="D80" s="112"/>
      <c r="E80" s="112"/>
      <c r="F80" s="112"/>
      <c r="G80" s="112"/>
      <c r="H80" s="112"/>
      <c r="I80" s="112"/>
      <c r="J80" s="112"/>
      <c r="K80" s="112"/>
      <c r="L80" s="112"/>
      <c r="M80" s="112"/>
      <c r="N80" s="112"/>
      <c r="O80" s="112"/>
      <c r="P80" s="112"/>
      <c r="Q80" s="112"/>
      <c r="R80" s="112"/>
      <c r="S80" s="112"/>
      <c r="T80" s="112"/>
      <c r="U80" s="112"/>
      <c r="V80" s="112"/>
      <c r="W80" s="112"/>
      <c r="X80" s="112"/>
    </row>
    <row r="81" spans="4:24">
      <c r="D81" s="184"/>
      <c r="E81" s="160"/>
      <c r="F81" s="160"/>
      <c r="G81" s="160"/>
      <c r="H81" s="160"/>
      <c r="I81" s="160"/>
      <c r="J81" s="160"/>
      <c r="K81" s="160"/>
      <c r="L81" s="160"/>
      <c r="M81" s="160"/>
      <c r="N81" s="160"/>
      <c r="O81" s="160"/>
      <c r="P81" s="160"/>
      <c r="Q81" s="160"/>
      <c r="R81" s="160"/>
      <c r="S81" s="160"/>
      <c r="T81" s="160"/>
      <c r="U81" s="160"/>
      <c r="V81" s="160"/>
      <c r="W81" s="112"/>
      <c r="X81" s="112"/>
    </row>
    <row r="82" spans="4:24" ht="13">
      <c r="D82" s="574"/>
      <c r="E82" s="714"/>
      <c r="F82" s="714"/>
      <c r="G82" s="714"/>
      <c r="H82" s="714"/>
      <c r="I82" s="714"/>
      <c r="J82" s="714"/>
      <c r="K82" s="714"/>
      <c r="L82" s="714"/>
      <c r="M82" s="714"/>
      <c r="N82" s="574"/>
      <c r="O82" s="715"/>
      <c r="P82" s="715"/>
      <c r="Q82" s="715"/>
      <c r="R82" s="715"/>
      <c r="S82" s="715"/>
      <c r="T82" s="715"/>
      <c r="U82" s="715"/>
      <c r="V82" s="715"/>
      <c r="W82" s="112"/>
      <c r="X82" s="112"/>
    </row>
    <row r="83" spans="4:24">
      <c r="D83" s="716"/>
      <c r="E83" s="715"/>
      <c r="F83" s="715"/>
      <c r="G83" s="715"/>
      <c r="H83" s="715"/>
      <c r="I83" s="715"/>
      <c r="J83" s="715"/>
      <c r="K83" s="715"/>
      <c r="L83" s="715"/>
      <c r="M83" s="715"/>
      <c r="N83" s="574"/>
      <c r="O83" s="715"/>
      <c r="P83" s="715"/>
      <c r="Q83" s="715"/>
      <c r="R83" s="715"/>
      <c r="S83" s="715"/>
      <c r="T83" s="715"/>
      <c r="U83" s="715"/>
      <c r="V83" s="715"/>
      <c r="W83" s="112"/>
      <c r="X83" s="112"/>
    </row>
    <row r="84" spans="4:24">
      <c r="D84" s="715"/>
      <c r="E84" s="715"/>
      <c r="F84" s="715"/>
      <c r="G84" s="715"/>
      <c r="H84" s="715"/>
      <c r="I84" s="715"/>
      <c r="J84" s="715"/>
      <c r="K84" s="715"/>
      <c r="L84" s="715"/>
      <c r="M84" s="715"/>
      <c r="N84" s="715"/>
      <c r="O84" s="715"/>
      <c r="P84" s="715"/>
      <c r="Q84" s="715"/>
      <c r="R84" s="715"/>
      <c r="S84" s="715"/>
      <c r="T84" s="715"/>
      <c r="U84" s="715"/>
      <c r="V84" s="715"/>
      <c r="W84" s="112"/>
      <c r="X84" s="112"/>
    </row>
    <row r="85" spans="4:24" ht="13">
      <c r="D85" s="576"/>
      <c r="E85" s="574"/>
      <c r="F85" s="574"/>
      <c r="G85" s="574"/>
      <c r="H85" s="574"/>
      <c r="I85" s="574"/>
      <c r="J85" s="574"/>
      <c r="K85" s="574"/>
      <c r="L85" s="715"/>
      <c r="M85" s="715"/>
      <c r="N85" s="715"/>
      <c r="O85" s="715"/>
      <c r="P85" s="715"/>
      <c r="Q85" s="715"/>
      <c r="R85" s="574"/>
      <c r="S85" s="715"/>
      <c r="T85" s="715"/>
      <c r="U85" s="715"/>
      <c r="V85" s="715"/>
      <c r="W85" s="112"/>
      <c r="X85" s="112"/>
    </row>
    <row r="86" spans="4:24" ht="13">
      <c r="D86" s="576"/>
      <c r="E86" s="185"/>
      <c r="F86" s="186"/>
      <c r="G86" s="186"/>
      <c r="H86" s="186"/>
      <c r="I86" s="186"/>
      <c r="J86" s="186"/>
      <c r="K86" s="185"/>
      <c r="L86" s="187"/>
      <c r="M86" s="187"/>
      <c r="N86" s="188"/>
      <c r="O86" s="189"/>
      <c r="P86" s="189"/>
      <c r="Q86" s="189"/>
      <c r="R86" s="717"/>
      <c r="S86" s="715"/>
      <c r="T86" s="715"/>
      <c r="U86" s="715"/>
      <c r="V86" s="715"/>
      <c r="W86" s="112"/>
      <c r="X86" s="112"/>
    </row>
    <row r="87" spans="4:24" ht="13">
      <c r="D87" s="576"/>
      <c r="E87" s="185"/>
      <c r="F87" s="186"/>
      <c r="G87" s="186"/>
      <c r="H87" s="186"/>
      <c r="I87" s="186"/>
      <c r="J87" s="186"/>
      <c r="K87" s="185"/>
      <c r="L87" s="187"/>
      <c r="M87" s="187"/>
      <c r="N87" s="188"/>
      <c r="O87" s="189"/>
      <c r="P87" s="189"/>
      <c r="Q87" s="189"/>
      <c r="R87" s="715"/>
      <c r="S87" s="715"/>
      <c r="T87" s="715"/>
      <c r="U87" s="715"/>
      <c r="V87" s="715"/>
      <c r="W87" s="112"/>
      <c r="X87" s="112"/>
    </row>
    <row r="88" spans="4:24">
      <c r="D88" s="576"/>
      <c r="E88" s="574"/>
      <c r="F88" s="574"/>
      <c r="G88" s="574"/>
      <c r="H88" s="574"/>
      <c r="I88" s="574"/>
      <c r="J88" s="574"/>
      <c r="K88" s="574"/>
      <c r="L88" s="574"/>
      <c r="M88" s="574"/>
      <c r="N88" s="574"/>
      <c r="O88" s="574"/>
      <c r="P88" s="574"/>
      <c r="Q88" s="574"/>
      <c r="R88" s="574"/>
      <c r="S88" s="574"/>
      <c r="T88" s="574"/>
      <c r="U88" s="574"/>
      <c r="V88" s="574"/>
      <c r="W88" s="112"/>
      <c r="X88" s="112"/>
    </row>
    <row r="89" spans="4:24">
      <c r="D89" s="576"/>
      <c r="E89" s="714"/>
      <c r="F89" s="714"/>
      <c r="G89" s="714"/>
      <c r="H89" s="714"/>
      <c r="I89" s="714"/>
      <c r="J89" s="714"/>
      <c r="K89" s="714"/>
      <c r="L89" s="714"/>
      <c r="M89" s="714"/>
      <c r="N89" s="714"/>
      <c r="O89" s="714"/>
      <c r="P89" s="714"/>
      <c r="Q89" s="714"/>
      <c r="R89" s="714"/>
      <c r="S89" s="714"/>
      <c r="T89" s="714"/>
      <c r="U89" s="714"/>
      <c r="V89" s="714"/>
      <c r="W89" s="112"/>
      <c r="X89" s="112"/>
    </row>
    <row r="90" spans="4:24">
      <c r="D90" s="576"/>
      <c r="E90" s="714"/>
      <c r="F90" s="714"/>
      <c r="G90" s="714"/>
      <c r="H90" s="714"/>
      <c r="I90" s="714"/>
      <c r="J90" s="714"/>
      <c r="K90" s="714"/>
      <c r="L90" s="714"/>
      <c r="M90" s="714"/>
      <c r="N90" s="714"/>
      <c r="O90" s="714"/>
      <c r="P90" s="714"/>
      <c r="Q90" s="714"/>
      <c r="R90" s="714"/>
      <c r="S90" s="714"/>
      <c r="T90" s="714"/>
      <c r="U90" s="714"/>
      <c r="V90" s="714"/>
      <c r="W90" s="112"/>
      <c r="X90" s="112"/>
    </row>
    <row r="91" spans="4:24">
      <c r="D91" s="112"/>
      <c r="E91" s="112"/>
      <c r="F91" s="112"/>
      <c r="G91" s="112"/>
      <c r="H91" s="112"/>
      <c r="I91" s="112"/>
      <c r="J91" s="112"/>
      <c r="K91" s="112"/>
      <c r="L91" s="112"/>
      <c r="M91" s="112"/>
      <c r="N91" s="112"/>
      <c r="O91" s="112"/>
      <c r="P91" s="112"/>
      <c r="Q91" s="112"/>
      <c r="R91" s="112"/>
      <c r="S91" s="112"/>
      <c r="T91" s="112"/>
      <c r="U91" s="112"/>
      <c r="V91" s="112"/>
      <c r="W91" s="112"/>
      <c r="X91" s="112"/>
    </row>
    <row r="92" spans="4:24">
      <c r="D92" s="112"/>
      <c r="E92" s="112"/>
      <c r="F92" s="112"/>
      <c r="G92" s="112"/>
      <c r="H92" s="112"/>
      <c r="I92" s="112"/>
      <c r="J92" s="112"/>
      <c r="K92" s="112"/>
      <c r="L92" s="112"/>
      <c r="M92" s="112"/>
      <c r="N92" s="112"/>
      <c r="O92" s="112"/>
      <c r="P92" s="112"/>
      <c r="Q92" s="112"/>
      <c r="R92" s="112"/>
      <c r="S92" s="112"/>
      <c r="T92" s="112"/>
      <c r="U92" s="112"/>
      <c r="V92" s="112"/>
      <c r="W92" s="112"/>
      <c r="X92" s="112"/>
    </row>
    <row r="93" spans="4:24">
      <c r="D93" s="112"/>
      <c r="E93" s="112"/>
      <c r="F93" s="112"/>
      <c r="G93" s="112"/>
      <c r="H93" s="112"/>
      <c r="I93" s="112"/>
      <c r="J93" s="112"/>
      <c r="K93" s="112"/>
      <c r="L93" s="112"/>
      <c r="M93" s="112"/>
      <c r="N93" s="112"/>
      <c r="O93" s="112"/>
      <c r="P93" s="112"/>
      <c r="Q93" s="112"/>
      <c r="R93" s="112"/>
      <c r="S93" s="112"/>
      <c r="T93" s="112"/>
      <c r="U93" s="112"/>
      <c r="V93" s="112"/>
      <c r="W93" s="112"/>
      <c r="X93" s="112"/>
    </row>
    <row r="94" spans="4:24">
      <c r="D94" s="112"/>
      <c r="E94" s="112"/>
      <c r="F94" s="112"/>
      <c r="G94" s="112"/>
      <c r="H94" s="112"/>
      <c r="I94" s="112"/>
      <c r="J94" s="112"/>
      <c r="K94" s="112"/>
      <c r="L94" s="112"/>
      <c r="M94" s="112"/>
      <c r="N94" s="112"/>
      <c r="O94" s="112"/>
      <c r="P94" s="112"/>
      <c r="Q94" s="112"/>
      <c r="R94" s="112"/>
      <c r="S94" s="112"/>
      <c r="T94" s="112"/>
      <c r="U94" s="112"/>
      <c r="V94" s="112"/>
      <c r="W94" s="112"/>
      <c r="X94" s="112"/>
    </row>
    <row r="95" spans="4:24">
      <c r="D95" s="112"/>
      <c r="E95" s="112"/>
      <c r="F95" s="112"/>
      <c r="G95" s="112"/>
      <c r="H95" s="112"/>
      <c r="I95" s="112"/>
      <c r="J95" s="112"/>
      <c r="K95" s="112"/>
      <c r="L95" s="112"/>
      <c r="M95" s="112"/>
      <c r="N95" s="112"/>
      <c r="O95" s="112"/>
      <c r="P95" s="112"/>
      <c r="Q95" s="112"/>
      <c r="R95" s="112"/>
      <c r="S95" s="112"/>
      <c r="T95" s="112"/>
      <c r="U95" s="112"/>
      <c r="V95" s="112"/>
      <c r="W95" s="112"/>
      <c r="X95" s="112"/>
    </row>
  </sheetData>
  <customSheetViews>
    <customSheetView guid="{A35F5B98-9B94-4847-B111-5994565B2C90}" scale="60" showPageBreaks="1" printArea="1" view="pageBreakPreview">
      <selection activeCell="J23" sqref="J23:U24"/>
      <pageMargins left="0.7" right="0.7" top="0.75" bottom="0.75" header="0.3" footer="0.3"/>
      <pageSetup paperSize="9" scale="78" orientation="portrait" r:id="rId1"/>
    </customSheetView>
    <customSheetView guid="{B49FCE62-7203-4C34-A051-738DE884AD97}" scale="60" showPageBreaks="1" printArea="1" view="pageBreakPreview">
      <selection activeCell="J23" sqref="J23:U24"/>
      <pageMargins left="0.7" right="0.7" top="0.75" bottom="0.75" header="0.3" footer="0.3"/>
      <pageSetup paperSize="9" scale="78" orientation="portrait" r:id="rId2"/>
    </customSheetView>
  </customSheetViews>
  <mergeCells count="72">
    <mergeCell ref="D16:G17"/>
    <mergeCell ref="H16:AJ17"/>
    <mergeCell ref="J4:AD7"/>
    <mergeCell ref="D10:G11"/>
    <mergeCell ref="H10:O11"/>
    <mergeCell ref="P10:S11"/>
    <mergeCell ref="T10:AC11"/>
    <mergeCell ref="AD10:AF11"/>
    <mergeCell ref="AG10:AJ11"/>
    <mergeCell ref="D12:G13"/>
    <mergeCell ref="H12:AJ13"/>
    <mergeCell ref="D14:G15"/>
    <mergeCell ref="H14:AJ15"/>
    <mergeCell ref="D32:L33"/>
    <mergeCell ref="M32:W33"/>
    <mergeCell ref="X32:AD33"/>
    <mergeCell ref="D18:G19"/>
    <mergeCell ref="H18:AJ19"/>
    <mergeCell ref="D23:I24"/>
    <mergeCell ref="J23:U24"/>
    <mergeCell ref="V23:AA24"/>
    <mergeCell ref="AB23:AJ24"/>
    <mergeCell ref="D25:I26"/>
    <mergeCell ref="J25:AJ26"/>
    <mergeCell ref="D27:I28"/>
    <mergeCell ref="J27:AJ28"/>
    <mergeCell ref="D30:AJ30"/>
    <mergeCell ref="D35:AJ35"/>
    <mergeCell ref="D37:L38"/>
    <mergeCell ref="M37:W38"/>
    <mergeCell ref="X37:AD38"/>
    <mergeCell ref="D41:I42"/>
    <mergeCell ref="J41:U42"/>
    <mergeCell ref="V41:AJ41"/>
    <mergeCell ref="D45:I46"/>
    <mergeCell ref="J45:N46"/>
    <mergeCell ref="O45:U46"/>
    <mergeCell ref="E48:AJ48"/>
    <mergeCell ref="D50:G51"/>
    <mergeCell ref="H50:W51"/>
    <mergeCell ref="X50:AC51"/>
    <mergeCell ref="AD50:AJ51"/>
    <mergeCell ref="F65:AJ65"/>
    <mergeCell ref="D52:G53"/>
    <mergeCell ref="H52:AJ53"/>
    <mergeCell ref="D54:G55"/>
    <mergeCell ref="H54:AJ55"/>
    <mergeCell ref="D56:AJ56"/>
    <mergeCell ref="D59:S59"/>
    <mergeCell ref="T59:AJ59"/>
    <mergeCell ref="F62:O62"/>
    <mergeCell ref="P62:Z62"/>
    <mergeCell ref="AA62:AJ62"/>
    <mergeCell ref="F63:O64"/>
    <mergeCell ref="P63:Z64"/>
    <mergeCell ref="AA63:AJ64"/>
    <mergeCell ref="E88:V88"/>
    <mergeCell ref="E89:V90"/>
    <mergeCell ref="AD9:AJ9"/>
    <mergeCell ref="F66:AJ67"/>
    <mergeCell ref="D82:M82"/>
    <mergeCell ref="N82:V82"/>
    <mergeCell ref="D83:M84"/>
    <mergeCell ref="N83:V84"/>
    <mergeCell ref="D85:D90"/>
    <mergeCell ref="E85:J85"/>
    <mergeCell ref="K85:Q85"/>
    <mergeCell ref="R85:V85"/>
    <mergeCell ref="R86:V87"/>
    <mergeCell ref="D60:S61"/>
    <mergeCell ref="T60:AJ61"/>
    <mergeCell ref="D62:E67"/>
  </mergeCells>
  <phoneticPr fontId="18"/>
  <pageMargins left="0.7" right="0.7" top="0.75" bottom="0.75" header="0.3" footer="0.3"/>
  <pageSetup paperSize="9" scale="68"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3:AM95"/>
  <sheetViews>
    <sheetView view="pageBreakPreview" zoomScale="60" zoomScaleNormal="100" workbookViewId="0">
      <selection activeCell="H12" sqref="H12:AJ13"/>
    </sheetView>
  </sheetViews>
  <sheetFormatPr defaultColWidth="9" defaultRowHeight="12"/>
  <cols>
    <col min="1" max="39" width="2.58203125" style="104" customWidth="1"/>
    <col min="40" max="16384" width="9" style="104"/>
  </cols>
  <sheetData>
    <row r="3" spans="1:39">
      <c r="C3" s="164"/>
      <c r="D3" s="148"/>
      <c r="E3" s="148"/>
      <c r="F3" s="148"/>
      <c r="G3" s="148"/>
      <c r="H3" s="148"/>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65"/>
    </row>
    <row r="4" spans="1:39" ht="14.25" customHeight="1">
      <c r="A4" s="105"/>
      <c r="B4" s="105"/>
      <c r="C4" s="109"/>
      <c r="D4" s="105"/>
      <c r="E4" s="105"/>
      <c r="F4" s="105"/>
      <c r="G4" s="105"/>
      <c r="H4" s="105"/>
      <c r="I4" s="105"/>
      <c r="J4" s="572" t="s">
        <v>168</v>
      </c>
      <c r="K4" s="572"/>
      <c r="L4" s="572"/>
      <c r="M4" s="572"/>
      <c r="N4" s="572"/>
      <c r="O4" s="572"/>
      <c r="P4" s="572"/>
      <c r="Q4" s="572"/>
      <c r="R4" s="572"/>
      <c r="S4" s="572"/>
      <c r="T4" s="572"/>
      <c r="U4" s="572"/>
      <c r="V4" s="572"/>
      <c r="W4" s="572"/>
      <c r="X4" s="572"/>
      <c r="Y4" s="572"/>
      <c r="Z4" s="572"/>
      <c r="AA4" s="572"/>
      <c r="AB4" s="572"/>
      <c r="AC4" s="572"/>
      <c r="AD4" s="572"/>
      <c r="AE4" s="105"/>
      <c r="AF4" s="105"/>
      <c r="AG4" s="105"/>
      <c r="AH4" s="105"/>
      <c r="AI4" s="105"/>
      <c r="AJ4" s="105"/>
      <c r="AK4" s="110"/>
      <c r="AL4" s="105"/>
      <c r="AM4" s="105"/>
    </row>
    <row r="5" spans="1:39" ht="14.25" customHeight="1">
      <c r="A5" s="105"/>
      <c r="B5" s="105"/>
      <c r="C5" s="109"/>
      <c r="D5" s="105"/>
      <c r="E5" s="105"/>
      <c r="F5" s="105"/>
      <c r="G5" s="105"/>
      <c r="H5" s="105"/>
      <c r="I5" s="105"/>
      <c r="J5" s="572"/>
      <c r="K5" s="572"/>
      <c r="L5" s="572"/>
      <c r="M5" s="572"/>
      <c r="N5" s="572"/>
      <c r="O5" s="572"/>
      <c r="P5" s="572"/>
      <c r="Q5" s="572"/>
      <c r="R5" s="572"/>
      <c r="S5" s="572"/>
      <c r="T5" s="572"/>
      <c r="U5" s="572"/>
      <c r="V5" s="572"/>
      <c r="W5" s="572"/>
      <c r="X5" s="572"/>
      <c r="Y5" s="572"/>
      <c r="Z5" s="572"/>
      <c r="AA5" s="572"/>
      <c r="AB5" s="572"/>
      <c r="AC5" s="572"/>
      <c r="AD5" s="572"/>
      <c r="AE5" s="105"/>
      <c r="AF5" s="105"/>
      <c r="AG5" s="105"/>
      <c r="AH5" s="105"/>
      <c r="AI5" s="105"/>
      <c r="AJ5" s="105"/>
      <c r="AK5" s="110"/>
      <c r="AL5" s="105"/>
      <c r="AM5" s="105"/>
    </row>
    <row r="6" spans="1:39" ht="14.25" customHeight="1">
      <c r="A6" s="105"/>
      <c r="B6" s="105"/>
      <c r="C6" s="109"/>
      <c r="D6" s="105"/>
      <c r="E6" s="105"/>
      <c r="F6" s="105"/>
      <c r="G6" s="105"/>
      <c r="H6" s="105"/>
      <c r="I6" s="105"/>
      <c r="J6" s="572"/>
      <c r="K6" s="572"/>
      <c r="L6" s="572"/>
      <c r="M6" s="572"/>
      <c r="N6" s="572"/>
      <c r="O6" s="572"/>
      <c r="P6" s="572"/>
      <c r="Q6" s="572"/>
      <c r="R6" s="572"/>
      <c r="S6" s="572"/>
      <c r="T6" s="572"/>
      <c r="U6" s="572"/>
      <c r="V6" s="572"/>
      <c r="W6" s="572"/>
      <c r="X6" s="572"/>
      <c r="Y6" s="572"/>
      <c r="Z6" s="572"/>
      <c r="AA6" s="572"/>
      <c r="AB6" s="572"/>
      <c r="AC6" s="572"/>
      <c r="AD6" s="572"/>
      <c r="AE6" s="105"/>
      <c r="AF6" s="105"/>
      <c r="AG6" s="105"/>
      <c r="AH6" s="105"/>
      <c r="AI6" s="105"/>
      <c r="AJ6" s="105"/>
      <c r="AK6" s="110"/>
      <c r="AL6" s="105"/>
      <c r="AM6" s="105"/>
    </row>
    <row r="7" spans="1:39" ht="14.25" customHeight="1">
      <c r="C7" s="111"/>
      <c r="D7" s="112"/>
      <c r="E7" s="112"/>
      <c r="F7" s="112"/>
      <c r="G7" s="112"/>
      <c r="H7" s="150"/>
      <c r="I7" s="150"/>
      <c r="J7" s="572"/>
      <c r="K7" s="572"/>
      <c r="L7" s="572"/>
      <c r="M7" s="572"/>
      <c r="N7" s="572"/>
      <c r="O7" s="572"/>
      <c r="P7" s="572"/>
      <c r="Q7" s="572"/>
      <c r="R7" s="572"/>
      <c r="S7" s="572"/>
      <c r="T7" s="572"/>
      <c r="U7" s="572"/>
      <c r="V7" s="572"/>
      <c r="W7" s="572"/>
      <c r="X7" s="572"/>
      <c r="Y7" s="572"/>
      <c r="Z7" s="572"/>
      <c r="AA7" s="572"/>
      <c r="AB7" s="572"/>
      <c r="AC7" s="572"/>
      <c r="AD7" s="572"/>
      <c r="AE7" s="150"/>
      <c r="AF7" s="150"/>
      <c r="AG7" s="150"/>
      <c r="AH7" s="150"/>
      <c r="AI7" s="150"/>
      <c r="AJ7" s="150"/>
      <c r="AK7" s="152"/>
      <c r="AL7" s="150"/>
      <c r="AM7" s="105"/>
    </row>
    <row r="8" spans="1:39" ht="14.25" customHeight="1">
      <c r="A8" s="105"/>
      <c r="B8" s="105"/>
      <c r="C8" s="109"/>
      <c r="D8" s="105" t="s">
        <v>120</v>
      </c>
      <c r="E8" s="105"/>
      <c r="F8" s="105"/>
      <c r="G8" s="105"/>
      <c r="H8" s="115"/>
      <c r="I8" s="115"/>
      <c r="J8" s="115"/>
      <c r="K8" s="207"/>
      <c r="L8" s="207"/>
      <c r="M8" s="207"/>
      <c r="N8" s="207"/>
      <c r="O8" s="207"/>
      <c r="P8" s="207"/>
      <c r="Q8" s="207"/>
      <c r="R8" s="207"/>
      <c r="S8" s="207"/>
      <c r="T8" s="207"/>
      <c r="U8" s="207"/>
      <c r="V8" s="207"/>
      <c r="W8" s="207"/>
      <c r="X8" s="207"/>
      <c r="Y8" s="207"/>
      <c r="Z8" s="207"/>
      <c r="AA8" s="207"/>
      <c r="AB8" s="207"/>
      <c r="AC8" s="207"/>
      <c r="AD8" s="105"/>
      <c r="AE8" s="105"/>
      <c r="AF8" s="105"/>
      <c r="AG8" s="105"/>
      <c r="AH8" s="105"/>
      <c r="AI8" s="105"/>
      <c r="AJ8" s="105"/>
      <c r="AK8" s="110"/>
      <c r="AL8" s="105"/>
      <c r="AM8" s="105"/>
    </row>
    <row r="9" spans="1:39" ht="14.25" customHeight="1">
      <c r="A9" s="105"/>
      <c r="B9" s="105"/>
      <c r="C9" s="109"/>
      <c r="D9" s="118"/>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483">
        <f ca="1">TODAY()</f>
        <v>46316</v>
      </c>
      <c r="AE9" s="483"/>
      <c r="AF9" s="483"/>
      <c r="AG9" s="483"/>
      <c r="AH9" s="483"/>
      <c r="AI9" s="483"/>
      <c r="AJ9" s="483"/>
      <c r="AK9" s="120"/>
      <c r="AL9" s="105"/>
      <c r="AM9" s="105"/>
    </row>
    <row r="10" spans="1:39" ht="14.25" customHeight="1">
      <c r="A10" s="105"/>
      <c r="B10" s="105"/>
      <c r="C10" s="109"/>
      <c r="D10" s="558" t="s">
        <v>122</v>
      </c>
      <c r="E10" s="559"/>
      <c r="F10" s="559"/>
      <c r="G10" s="559"/>
      <c r="H10" s="564"/>
      <c r="I10" s="564"/>
      <c r="J10" s="564"/>
      <c r="K10" s="564"/>
      <c r="L10" s="564"/>
      <c r="M10" s="564"/>
      <c r="N10" s="564"/>
      <c r="O10" s="564"/>
      <c r="P10" s="565" t="s">
        <v>123</v>
      </c>
      <c r="Q10" s="565"/>
      <c r="R10" s="471"/>
      <c r="S10" s="471"/>
      <c r="T10" s="713">
        <f>証明書!AL2</f>
        <v>16851</v>
      </c>
      <c r="U10" s="713"/>
      <c r="V10" s="471"/>
      <c r="W10" s="471"/>
      <c r="X10" s="471"/>
      <c r="Y10" s="471"/>
      <c r="Z10" s="471"/>
      <c r="AA10" s="471"/>
      <c r="AB10" s="471"/>
      <c r="AC10" s="471"/>
      <c r="AD10" s="568" t="s">
        <v>124</v>
      </c>
      <c r="AE10" s="569"/>
      <c r="AF10" s="455"/>
      <c r="AG10" s="453" t="str">
        <f>証明書!AM2</f>
        <v>男</v>
      </c>
      <c r="AH10" s="454"/>
      <c r="AI10" s="454"/>
      <c r="AJ10" s="455"/>
      <c r="AK10" s="197"/>
      <c r="AL10" s="105"/>
      <c r="AM10" s="105"/>
    </row>
    <row r="11" spans="1:39" ht="14.25" customHeight="1">
      <c r="A11" s="105"/>
      <c r="B11" s="105"/>
      <c r="C11" s="109"/>
      <c r="D11" s="562"/>
      <c r="E11" s="563"/>
      <c r="F11" s="563"/>
      <c r="G11" s="563"/>
      <c r="H11" s="564"/>
      <c r="I11" s="564"/>
      <c r="J11" s="564"/>
      <c r="K11" s="564"/>
      <c r="L11" s="564"/>
      <c r="M11" s="564"/>
      <c r="N11" s="564"/>
      <c r="O11" s="564"/>
      <c r="P11" s="471"/>
      <c r="Q11" s="471"/>
      <c r="R11" s="471"/>
      <c r="S11" s="471"/>
      <c r="T11" s="471"/>
      <c r="U11" s="471"/>
      <c r="V11" s="471"/>
      <c r="W11" s="471"/>
      <c r="X11" s="471"/>
      <c r="Y11" s="471"/>
      <c r="Z11" s="471"/>
      <c r="AA11" s="471"/>
      <c r="AB11" s="471"/>
      <c r="AC11" s="471"/>
      <c r="AD11" s="459"/>
      <c r="AE11" s="460"/>
      <c r="AF11" s="461"/>
      <c r="AG11" s="459"/>
      <c r="AH11" s="460"/>
      <c r="AI11" s="460"/>
      <c r="AJ11" s="461"/>
      <c r="AK11" s="197"/>
      <c r="AL11" s="105"/>
      <c r="AM11" s="105"/>
    </row>
    <row r="12" spans="1:39" ht="14.25" customHeight="1">
      <c r="A12" s="105"/>
      <c r="B12" s="105"/>
      <c r="C12" s="109"/>
      <c r="D12" s="530" t="s">
        <v>126</v>
      </c>
      <c r="E12" s="530"/>
      <c r="F12" s="530"/>
      <c r="G12" s="530"/>
      <c r="H12" s="704" t="str">
        <f>証明書!AJ2</f>
        <v>乙川　二郎</v>
      </c>
      <c r="I12" s="705"/>
      <c r="J12" s="705"/>
      <c r="K12" s="705"/>
      <c r="L12" s="705"/>
      <c r="M12" s="705"/>
      <c r="N12" s="705"/>
      <c r="O12" s="705"/>
      <c r="P12" s="705"/>
      <c r="Q12" s="705"/>
      <c r="R12" s="705"/>
      <c r="S12" s="705"/>
      <c r="T12" s="705"/>
      <c r="U12" s="705"/>
      <c r="V12" s="705"/>
      <c r="W12" s="705"/>
      <c r="X12" s="705"/>
      <c r="Y12" s="705"/>
      <c r="Z12" s="705"/>
      <c r="AA12" s="705"/>
      <c r="AB12" s="705"/>
      <c r="AC12" s="705"/>
      <c r="AD12" s="705"/>
      <c r="AE12" s="705"/>
      <c r="AF12" s="705"/>
      <c r="AG12" s="705"/>
      <c r="AH12" s="705"/>
      <c r="AI12" s="705"/>
      <c r="AJ12" s="706"/>
      <c r="AK12" s="200"/>
      <c r="AL12" s="105"/>
      <c r="AM12" s="105"/>
    </row>
    <row r="13" spans="1:39" ht="14.25" customHeight="1">
      <c r="A13" s="105"/>
      <c r="B13" s="105"/>
      <c r="C13" s="109"/>
      <c r="D13" s="530"/>
      <c r="E13" s="530"/>
      <c r="F13" s="530"/>
      <c r="G13" s="530"/>
      <c r="H13" s="710"/>
      <c r="I13" s="711"/>
      <c r="J13" s="711"/>
      <c r="K13" s="711"/>
      <c r="L13" s="711"/>
      <c r="M13" s="711"/>
      <c r="N13" s="711"/>
      <c r="O13" s="711"/>
      <c r="P13" s="711"/>
      <c r="Q13" s="711"/>
      <c r="R13" s="711"/>
      <c r="S13" s="711"/>
      <c r="T13" s="711"/>
      <c r="U13" s="711"/>
      <c r="V13" s="711"/>
      <c r="W13" s="711"/>
      <c r="X13" s="711"/>
      <c r="Y13" s="711"/>
      <c r="Z13" s="711"/>
      <c r="AA13" s="711"/>
      <c r="AB13" s="711"/>
      <c r="AC13" s="711"/>
      <c r="AD13" s="711"/>
      <c r="AE13" s="711"/>
      <c r="AF13" s="711"/>
      <c r="AG13" s="711"/>
      <c r="AH13" s="711"/>
      <c r="AI13" s="711"/>
      <c r="AJ13" s="712"/>
      <c r="AK13" s="200"/>
      <c r="AL13" s="105"/>
      <c r="AM13" s="105"/>
    </row>
    <row r="14" spans="1:39" ht="14.25" customHeight="1">
      <c r="A14" s="105"/>
      <c r="B14" s="105"/>
      <c r="C14" s="109"/>
      <c r="D14" s="530" t="s">
        <v>127</v>
      </c>
      <c r="E14" s="530"/>
      <c r="F14" s="530"/>
      <c r="G14" s="530"/>
      <c r="H14" s="484" t="str">
        <f>"北海道河西郡"&amp;証明書!AN3</f>
        <v>北海道河西郡芽室町中央二丁目２番地　</v>
      </c>
      <c r="I14" s="485"/>
      <c r="J14" s="485"/>
      <c r="K14" s="485"/>
      <c r="L14" s="485"/>
      <c r="M14" s="485"/>
      <c r="N14" s="485"/>
      <c r="O14" s="485"/>
      <c r="P14" s="485"/>
      <c r="Q14" s="485"/>
      <c r="R14" s="485"/>
      <c r="S14" s="485"/>
      <c r="T14" s="485"/>
      <c r="U14" s="485"/>
      <c r="V14" s="485"/>
      <c r="W14" s="485"/>
      <c r="X14" s="485"/>
      <c r="Y14" s="485"/>
      <c r="Z14" s="485"/>
      <c r="AA14" s="485"/>
      <c r="AB14" s="485"/>
      <c r="AC14" s="485"/>
      <c r="AD14" s="485"/>
      <c r="AE14" s="485"/>
      <c r="AF14" s="485"/>
      <c r="AG14" s="485"/>
      <c r="AH14" s="485"/>
      <c r="AI14" s="485"/>
      <c r="AJ14" s="486"/>
      <c r="AK14" s="200"/>
      <c r="AL14" s="105"/>
      <c r="AM14" s="105"/>
    </row>
    <row r="15" spans="1:39" ht="14.25" customHeight="1">
      <c r="A15" s="105"/>
      <c r="B15" s="105"/>
      <c r="C15" s="109"/>
      <c r="D15" s="530"/>
      <c r="E15" s="530"/>
      <c r="F15" s="530"/>
      <c r="G15" s="530"/>
      <c r="H15" s="490"/>
      <c r="I15" s="491"/>
      <c r="J15" s="491"/>
      <c r="K15" s="491"/>
      <c r="L15" s="491"/>
      <c r="M15" s="491"/>
      <c r="N15" s="491"/>
      <c r="O15" s="491"/>
      <c r="P15" s="491"/>
      <c r="Q15" s="491"/>
      <c r="R15" s="491"/>
      <c r="S15" s="491"/>
      <c r="T15" s="491"/>
      <c r="U15" s="491"/>
      <c r="V15" s="491"/>
      <c r="W15" s="491"/>
      <c r="X15" s="491"/>
      <c r="Y15" s="491"/>
      <c r="Z15" s="491"/>
      <c r="AA15" s="491"/>
      <c r="AB15" s="491"/>
      <c r="AC15" s="491"/>
      <c r="AD15" s="491"/>
      <c r="AE15" s="491"/>
      <c r="AF15" s="491"/>
      <c r="AG15" s="491"/>
      <c r="AH15" s="491"/>
      <c r="AI15" s="491"/>
      <c r="AJ15" s="492"/>
      <c r="AK15" s="200"/>
      <c r="AL15" s="105"/>
      <c r="AM15" s="105"/>
    </row>
    <row r="16" spans="1:39" ht="14.25" customHeight="1">
      <c r="A16" s="105"/>
      <c r="B16" s="105"/>
      <c r="C16" s="109"/>
      <c r="D16" s="530" t="s">
        <v>128</v>
      </c>
      <c r="E16" s="530"/>
      <c r="F16" s="530"/>
      <c r="G16" s="530"/>
      <c r="H16" s="484"/>
      <c r="I16" s="485"/>
      <c r="J16" s="485"/>
      <c r="K16" s="485"/>
      <c r="L16" s="485"/>
      <c r="M16" s="485"/>
      <c r="N16" s="485"/>
      <c r="O16" s="485"/>
      <c r="P16" s="485"/>
      <c r="Q16" s="485"/>
      <c r="R16" s="485"/>
      <c r="S16" s="485"/>
      <c r="T16" s="485"/>
      <c r="U16" s="485"/>
      <c r="V16" s="485"/>
      <c r="W16" s="485"/>
      <c r="X16" s="485"/>
      <c r="Y16" s="485"/>
      <c r="Z16" s="485"/>
      <c r="AA16" s="485"/>
      <c r="AB16" s="485"/>
      <c r="AC16" s="485"/>
      <c r="AD16" s="485"/>
      <c r="AE16" s="485"/>
      <c r="AF16" s="485"/>
      <c r="AG16" s="485"/>
      <c r="AH16" s="485"/>
      <c r="AI16" s="485"/>
      <c r="AJ16" s="486"/>
      <c r="AK16" s="197"/>
      <c r="AL16" s="105"/>
      <c r="AM16" s="105"/>
    </row>
    <row r="17" spans="1:39" ht="14.25" customHeight="1">
      <c r="A17" s="105"/>
      <c r="B17" s="105"/>
      <c r="C17" s="109"/>
      <c r="D17" s="530"/>
      <c r="E17" s="530"/>
      <c r="F17" s="530"/>
      <c r="G17" s="530"/>
      <c r="H17" s="490"/>
      <c r="I17" s="491"/>
      <c r="J17" s="491"/>
      <c r="K17" s="491"/>
      <c r="L17" s="491"/>
      <c r="M17" s="491"/>
      <c r="N17" s="491"/>
      <c r="O17" s="491"/>
      <c r="P17" s="491"/>
      <c r="Q17" s="491"/>
      <c r="R17" s="491"/>
      <c r="S17" s="491"/>
      <c r="T17" s="491"/>
      <c r="U17" s="491"/>
      <c r="V17" s="491"/>
      <c r="W17" s="491"/>
      <c r="X17" s="491"/>
      <c r="Y17" s="491"/>
      <c r="Z17" s="491"/>
      <c r="AA17" s="491"/>
      <c r="AB17" s="491"/>
      <c r="AC17" s="491"/>
      <c r="AD17" s="491"/>
      <c r="AE17" s="491"/>
      <c r="AF17" s="491"/>
      <c r="AG17" s="491"/>
      <c r="AH17" s="491"/>
      <c r="AI17" s="491"/>
      <c r="AJ17" s="492"/>
      <c r="AK17" s="197"/>
      <c r="AL17" s="105"/>
      <c r="AM17" s="105"/>
    </row>
    <row r="18" spans="1:39" ht="14.25" customHeight="1">
      <c r="A18" s="105"/>
      <c r="B18" s="105"/>
      <c r="C18" s="109"/>
      <c r="D18" s="462" t="s">
        <v>169</v>
      </c>
      <c r="E18" s="463"/>
      <c r="F18" s="463"/>
      <c r="G18" s="464"/>
      <c r="H18" s="484" t="s">
        <v>205</v>
      </c>
      <c r="I18" s="485"/>
      <c r="J18" s="485"/>
      <c r="K18" s="485"/>
      <c r="L18" s="485"/>
      <c r="M18" s="485"/>
      <c r="N18" s="485"/>
      <c r="O18" s="485"/>
      <c r="P18" s="485"/>
      <c r="Q18" s="485"/>
      <c r="R18" s="485"/>
      <c r="S18" s="485"/>
      <c r="T18" s="485"/>
      <c r="U18" s="485"/>
      <c r="V18" s="485"/>
      <c r="W18" s="485"/>
      <c r="X18" s="485"/>
      <c r="Y18" s="485"/>
      <c r="Z18" s="485"/>
      <c r="AA18" s="485"/>
      <c r="AB18" s="485"/>
      <c r="AC18" s="485"/>
      <c r="AD18" s="485"/>
      <c r="AE18" s="485"/>
      <c r="AF18" s="485"/>
      <c r="AG18" s="485"/>
      <c r="AH18" s="485"/>
      <c r="AI18" s="485"/>
      <c r="AJ18" s="486"/>
      <c r="AK18" s="200"/>
      <c r="AL18" s="105"/>
      <c r="AM18" s="105"/>
    </row>
    <row r="19" spans="1:39" ht="14.25" customHeight="1">
      <c r="A19" s="105"/>
      <c r="B19" s="105"/>
      <c r="C19" s="109"/>
      <c r="D19" s="468"/>
      <c r="E19" s="469"/>
      <c r="F19" s="469"/>
      <c r="G19" s="470"/>
      <c r="H19" s="490"/>
      <c r="I19" s="491"/>
      <c r="J19" s="491"/>
      <c r="K19" s="491"/>
      <c r="L19" s="491"/>
      <c r="M19" s="491"/>
      <c r="N19" s="491"/>
      <c r="O19" s="491"/>
      <c r="P19" s="491"/>
      <c r="Q19" s="491"/>
      <c r="R19" s="491"/>
      <c r="S19" s="491"/>
      <c r="T19" s="491"/>
      <c r="U19" s="491"/>
      <c r="V19" s="491"/>
      <c r="W19" s="491"/>
      <c r="X19" s="491"/>
      <c r="Y19" s="491"/>
      <c r="Z19" s="491"/>
      <c r="AA19" s="491"/>
      <c r="AB19" s="491"/>
      <c r="AC19" s="491"/>
      <c r="AD19" s="491"/>
      <c r="AE19" s="491"/>
      <c r="AF19" s="491"/>
      <c r="AG19" s="491"/>
      <c r="AH19" s="491"/>
      <c r="AI19" s="491"/>
      <c r="AJ19" s="492"/>
      <c r="AK19" s="200"/>
      <c r="AL19" s="105"/>
      <c r="AM19" s="105"/>
    </row>
    <row r="20" spans="1:39" ht="14.25" customHeight="1">
      <c r="A20" s="105"/>
      <c r="B20" s="105"/>
      <c r="C20" s="109"/>
      <c r="D20" s="125" t="s">
        <v>129</v>
      </c>
      <c r="E20" s="126" t="s">
        <v>130</v>
      </c>
      <c r="F20" s="127"/>
      <c r="G20" s="127"/>
      <c r="H20" s="107"/>
      <c r="I20" s="107"/>
      <c r="J20" s="107"/>
      <c r="K20" s="107"/>
      <c r="L20" s="107"/>
      <c r="M20" s="107"/>
      <c r="N20" s="107"/>
      <c r="O20" s="166"/>
      <c r="P20" s="107"/>
      <c r="Q20" s="107"/>
      <c r="R20" s="107"/>
      <c r="S20" s="201"/>
      <c r="T20" s="168"/>
      <c r="U20" s="168"/>
      <c r="V20" s="168"/>
      <c r="W20" s="168"/>
      <c r="X20" s="168"/>
      <c r="Y20" s="168"/>
      <c r="Z20" s="168"/>
      <c r="AA20" s="168"/>
      <c r="AB20" s="168"/>
      <c r="AC20" s="107"/>
      <c r="AD20" s="107"/>
      <c r="AE20" s="107"/>
      <c r="AF20" s="107"/>
      <c r="AG20" s="107"/>
      <c r="AH20" s="107"/>
      <c r="AI20" s="107"/>
      <c r="AJ20" s="107"/>
      <c r="AK20" s="110"/>
      <c r="AL20" s="105"/>
      <c r="AM20" s="105"/>
    </row>
    <row r="21" spans="1:39" ht="14.25" customHeight="1">
      <c r="A21" s="105"/>
      <c r="B21" s="105"/>
      <c r="C21" s="109"/>
      <c r="D21" s="169"/>
      <c r="E21" s="207"/>
      <c r="F21" s="127"/>
      <c r="G21" s="127"/>
      <c r="H21" s="105"/>
      <c r="I21" s="105"/>
      <c r="J21" s="105"/>
      <c r="K21" s="105"/>
      <c r="L21" s="105"/>
      <c r="M21" s="105"/>
      <c r="N21" s="105"/>
      <c r="O21" s="128"/>
      <c r="P21" s="105"/>
      <c r="Q21" s="105"/>
      <c r="R21" s="105"/>
      <c r="S21" s="202"/>
      <c r="T21" s="127"/>
      <c r="U21" s="127"/>
      <c r="V21" s="127"/>
      <c r="W21" s="127"/>
      <c r="X21" s="127"/>
      <c r="Y21" s="127"/>
      <c r="Z21" s="127"/>
      <c r="AA21" s="127"/>
      <c r="AB21" s="127"/>
      <c r="AC21" s="105"/>
      <c r="AD21" s="105"/>
      <c r="AE21" s="105"/>
      <c r="AF21" s="105"/>
      <c r="AG21" s="105"/>
      <c r="AH21" s="105"/>
      <c r="AI21" s="105"/>
      <c r="AJ21" s="105"/>
      <c r="AK21" s="110"/>
      <c r="AL21" s="105"/>
      <c r="AM21" s="105"/>
    </row>
    <row r="22" spans="1:39" ht="14.25" customHeight="1">
      <c r="A22" s="105"/>
      <c r="B22" s="105"/>
      <c r="C22" s="109"/>
      <c r="D22" s="170" t="s">
        <v>170</v>
      </c>
      <c r="E22" s="169"/>
      <c r="F22" s="169"/>
      <c r="G22" s="169"/>
      <c r="H22" s="169"/>
      <c r="I22" s="169"/>
      <c r="J22" s="169"/>
      <c r="K22" s="169"/>
      <c r="L22" s="169"/>
      <c r="M22" s="169"/>
      <c r="N22" s="169"/>
      <c r="O22" s="169"/>
      <c r="P22" s="105"/>
      <c r="Q22" s="105"/>
      <c r="R22" s="105"/>
      <c r="S22" s="202"/>
      <c r="T22" s="127"/>
      <c r="U22" s="127"/>
      <c r="V22" s="127"/>
      <c r="W22" s="127"/>
      <c r="X22" s="127"/>
      <c r="Y22" s="127"/>
      <c r="Z22" s="127"/>
      <c r="AA22" s="127"/>
      <c r="AB22" s="127"/>
      <c r="AC22" s="105"/>
      <c r="AD22" s="105"/>
      <c r="AE22" s="105"/>
      <c r="AF22" s="105"/>
      <c r="AG22" s="105"/>
      <c r="AH22" s="105"/>
      <c r="AI22" s="105"/>
      <c r="AJ22" s="105"/>
      <c r="AK22" s="110"/>
      <c r="AL22" s="105"/>
      <c r="AM22" s="105"/>
    </row>
    <row r="23" spans="1:39" ht="14.25" customHeight="1">
      <c r="A23" s="105"/>
      <c r="B23" s="105"/>
      <c r="C23" s="109"/>
      <c r="D23" s="678" t="s">
        <v>171</v>
      </c>
      <c r="E23" s="678"/>
      <c r="F23" s="678"/>
      <c r="G23" s="678"/>
      <c r="H23" s="678"/>
      <c r="I23" s="678"/>
      <c r="J23" s="678"/>
      <c r="K23" s="678"/>
      <c r="L23" s="678"/>
      <c r="M23" s="678"/>
      <c r="N23" s="678"/>
      <c r="O23" s="678"/>
      <c r="P23" s="678"/>
      <c r="Q23" s="678"/>
      <c r="R23" s="678"/>
      <c r="S23" s="678"/>
      <c r="T23" s="678"/>
      <c r="U23" s="678"/>
      <c r="V23" s="678" t="s">
        <v>172</v>
      </c>
      <c r="W23" s="678"/>
      <c r="X23" s="678"/>
      <c r="Y23" s="678"/>
      <c r="Z23" s="678"/>
      <c r="AA23" s="678"/>
      <c r="AB23" s="565" t="s">
        <v>125</v>
      </c>
      <c r="AC23" s="565"/>
      <c r="AD23" s="565"/>
      <c r="AE23" s="565"/>
      <c r="AF23" s="565"/>
      <c r="AG23" s="565"/>
      <c r="AH23" s="565"/>
      <c r="AI23" s="565"/>
      <c r="AJ23" s="565"/>
      <c r="AK23" s="110"/>
      <c r="AL23" s="105"/>
      <c r="AM23" s="105"/>
    </row>
    <row r="24" spans="1:39" ht="14.25" customHeight="1">
      <c r="A24" s="105"/>
      <c r="B24" s="105"/>
      <c r="C24" s="109"/>
      <c r="D24" s="678"/>
      <c r="E24" s="678"/>
      <c r="F24" s="678"/>
      <c r="G24" s="678"/>
      <c r="H24" s="678"/>
      <c r="I24" s="678"/>
      <c r="J24" s="678"/>
      <c r="K24" s="678"/>
      <c r="L24" s="678"/>
      <c r="M24" s="678"/>
      <c r="N24" s="678"/>
      <c r="O24" s="678"/>
      <c r="P24" s="678"/>
      <c r="Q24" s="678"/>
      <c r="R24" s="678"/>
      <c r="S24" s="678"/>
      <c r="T24" s="678"/>
      <c r="U24" s="678"/>
      <c r="V24" s="678"/>
      <c r="W24" s="678"/>
      <c r="X24" s="678"/>
      <c r="Y24" s="678"/>
      <c r="Z24" s="678"/>
      <c r="AA24" s="678"/>
      <c r="AB24" s="565"/>
      <c r="AC24" s="565"/>
      <c r="AD24" s="565"/>
      <c r="AE24" s="565"/>
      <c r="AF24" s="565"/>
      <c r="AG24" s="565"/>
      <c r="AH24" s="565"/>
      <c r="AI24" s="565"/>
      <c r="AJ24" s="565"/>
      <c r="AK24" s="110"/>
      <c r="AL24" s="105"/>
      <c r="AM24" s="105"/>
    </row>
    <row r="25" spans="1:39" ht="14.25" customHeight="1">
      <c r="A25" s="105"/>
      <c r="B25" s="105"/>
      <c r="C25" s="109"/>
      <c r="D25" s="678" t="s">
        <v>173</v>
      </c>
      <c r="E25" s="678"/>
      <c r="F25" s="678"/>
      <c r="G25" s="678"/>
      <c r="H25" s="678"/>
      <c r="I25" s="678"/>
      <c r="J25" s="678"/>
      <c r="K25" s="678"/>
      <c r="L25" s="678"/>
      <c r="M25" s="678"/>
      <c r="N25" s="678"/>
      <c r="O25" s="678"/>
      <c r="P25" s="678"/>
      <c r="Q25" s="678"/>
      <c r="R25" s="678"/>
      <c r="S25" s="678"/>
      <c r="T25" s="678"/>
      <c r="U25" s="678"/>
      <c r="V25" s="678"/>
      <c r="W25" s="678"/>
      <c r="X25" s="678"/>
      <c r="Y25" s="678"/>
      <c r="Z25" s="678"/>
      <c r="AA25" s="678"/>
      <c r="AB25" s="678"/>
      <c r="AC25" s="678"/>
      <c r="AD25" s="678"/>
      <c r="AE25" s="678"/>
      <c r="AF25" s="678"/>
      <c r="AG25" s="678"/>
      <c r="AH25" s="678"/>
      <c r="AI25" s="678"/>
      <c r="AJ25" s="678"/>
      <c r="AK25" s="110"/>
      <c r="AL25" s="105"/>
      <c r="AM25" s="105"/>
    </row>
    <row r="26" spans="1:39" ht="14.25" customHeight="1">
      <c r="A26" s="105"/>
      <c r="B26" s="105"/>
      <c r="C26" s="109"/>
      <c r="D26" s="678"/>
      <c r="E26" s="678"/>
      <c r="F26" s="678"/>
      <c r="G26" s="678"/>
      <c r="H26" s="678"/>
      <c r="I26" s="678"/>
      <c r="J26" s="678"/>
      <c r="K26" s="678"/>
      <c r="L26" s="678"/>
      <c r="M26" s="678"/>
      <c r="N26" s="678"/>
      <c r="O26" s="678"/>
      <c r="P26" s="678"/>
      <c r="Q26" s="678"/>
      <c r="R26" s="678"/>
      <c r="S26" s="678"/>
      <c r="T26" s="678"/>
      <c r="U26" s="678"/>
      <c r="V26" s="678"/>
      <c r="W26" s="678"/>
      <c r="X26" s="678"/>
      <c r="Y26" s="678"/>
      <c r="Z26" s="678"/>
      <c r="AA26" s="678"/>
      <c r="AB26" s="678"/>
      <c r="AC26" s="678"/>
      <c r="AD26" s="678"/>
      <c r="AE26" s="678"/>
      <c r="AF26" s="678"/>
      <c r="AG26" s="678"/>
      <c r="AH26" s="678"/>
      <c r="AI26" s="678"/>
      <c r="AJ26" s="678"/>
      <c r="AK26" s="110"/>
      <c r="AL26" s="105"/>
      <c r="AM26" s="105"/>
    </row>
    <row r="27" spans="1:39" ht="14.25" customHeight="1">
      <c r="A27" s="105"/>
      <c r="B27" s="105"/>
      <c r="C27" s="109"/>
      <c r="D27" s="678" t="s">
        <v>174</v>
      </c>
      <c r="E27" s="678"/>
      <c r="F27" s="678"/>
      <c r="G27" s="678"/>
      <c r="H27" s="678"/>
      <c r="I27" s="678"/>
      <c r="J27" s="678"/>
      <c r="K27" s="678"/>
      <c r="L27" s="678"/>
      <c r="M27" s="678"/>
      <c r="N27" s="678"/>
      <c r="O27" s="678"/>
      <c r="P27" s="678"/>
      <c r="Q27" s="678"/>
      <c r="R27" s="678"/>
      <c r="S27" s="678"/>
      <c r="T27" s="678"/>
      <c r="U27" s="678"/>
      <c r="V27" s="678"/>
      <c r="W27" s="678"/>
      <c r="X27" s="678"/>
      <c r="Y27" s="678"/>
      <c r="Z27" s="678"/>
      <c r="AA27" s="678"/>
      <c r="AB27" s="678"/>
      <c r="AC27" s="678"/>
      <c r="AD27" s="678"/>
      <c r="AE27" s="678"/>
      <c r="AF27" s="678"/>
      <c r="AG27" s="678"/>
      <c r="AH27" s="678"/>
      <c r="AI27" s="678"/>
      <c r="AJ27" s="678"/>
      <c r="AK27" s="110"/>
      <c r="AL27" s="105"/>
      <c r="AM27" s="105"/>
    </row>
    <row r="28" spans="1:39" ht="14.25" customHeight="1">
      <c r="A28" s="105"/>
      <c r="B28" s="105"/>
      <c r="C28" s="109"/>
      <c r="D28" s="678"/>
      <c r="E28" s="678"/>
      <c r="F28" s="678"/>
      <c r="G28" s="678"/>
      <c r="H28" s="678"/>
      <c r="I28" s="678"/>
      <c r="J28" s="678"/>
      <c r="K28" s="678"/>
      <c r="L28" s="678"/>
      <c r="M28" s="678"/>
      <c r="N28" s="678"/>
      <c r="O28" s="678"/>
      <c r="P28" s="678"/>
      <c r="Q28" s="678"/>
      <c r="R28" s="678"/>
      <c r="S28" s="678"/>
      <c r="T28" s="678"/>
      <c r="U28" s="678"/>
      <c r="V28" s="678"/>
      <c r="W28" s="678"/>
      <c r="X28" s="678"/>
      <c r="Y28" s="678"/>
      <c r="Z28" s="678"/>
      <c r="AA28" s="678"/>
      <c r="AB28" s="678"/>
      <c r="AC28" s="678"/>
      <c r="AD28" s="678"/>
      <c r="AE28" s="678"/>
      <c r="AF28" s="678"/>
      <c r="AG28" s="678"/>
      <c r="AH28" s="678"/>
      <c r="AI28" s="678"/>
      <c r="AJ28" s="678"/>
      <c r="AK28" s="110"/>
      <c r="AL28" s="105"/>
      <c r="AM28" s="105"/>
    </row>
    <row r="29" spans="1:39" ht="12" customHeight="1">
      <c r="A29" s="105"/>
      <c r="B29" s="105"/>
      <c r="C29" s="109"/>
      <c r="D29" s="169"/>
      <c r="E29" s="169"/>
      <c r="F29" s="169"/>
      <c r="G29" s="169"/>
      <c r="H29" s="169"/>
      <c r="I29" s="169"/>
      <c r="J29" s="169"/>
      <c r="K29" s="169"/>
      <c r="L29" s="169"/>
      <c r="M29" s="169"/>
      <c r="N29" s="169"/>
      <c r="O29" s="169"/>
      <c r="P29" s="105"/>
      <c r="Q29" s="105"/>
      <c r="R29" s="105"/>
      <c r="S29" s="202"/>
      <c r="T29" s="127"/>
      <c r="U29" s="127"/>
      <c r="V29" s="127"/>
      <c r="W29" s="127"/>
      <c r="X29" s="127"/>
      <c r="Y29" s="127"/>
      <c r="Z29" s="127"/>
      <c r="AA29" s="127"/>
      <c r="AB29" s="127"/>
      <c r="AC29" s="105"/>
      <c r="AD29" s="105"/>
      <c r="AE29" s="105"/>
      <c r="AF29" s="105"/>
      <c r="AG29" s="105"/>
      <c r="AH29" s="105"/>
      <c r="AI29" s="105"/>
      <c r="AJ29" s="105"/>
      <c r="AK29" s="110"/>
      <c r="AL29" s="105"/>
      <c r="AM29" s="105"/>
    </row>
    <row r="30" spans="1:39" ht="22.75" customHeight="1">
      <c r="A30" s="105"/>
      <c r="B30" s="105"/>
      <c r="C30" s="109"/>
      <c r="D30" s="726" t="s">
        <v>175</v>
      </c>
      <c r="E30" s="726"/>
      <c r="F30" s="726"/>
      <c r="G30" s="726"/>
      <c r="H30" s="726"/>
      <c r="I30" s="726"/>
      <c r="J30" s="726"/>
      <c r="K30" s="726"/>
      <c r="L30" s="726"/>
      <c r="M30" s="726"/>
      <c r="N30" s="726"/>
      <c r="O30" s="726"/>
      <c r="P30" s="726"/>
      <c r="Q30" s="726"/>
      <c r="R30" s="726"/>
      <c r="S30" s="726"/>
      <c r="T30" s="726"/>
      <c r="U30" s="726"/>
      <c r="V30" s="726"/>
      <c r="W30" s="726"/>
      <c r="X30" s="726"/>
      <c r="Y30" s="726"/>
      <c r="Z30" s="726"/>
      <c r="AA30" s="726"/>
      <c r="AB30" s="726"/>
      <c r="AC30" s="726"/>
      <c r="AD30" s="726"/>
      <c r="AE30" s="726"/>
      <c r="AF30" s="726"/>
      <c r="AG30" s="726"/>
      <c r="AH30" s="726"/>
      <c r="AI30" s="726"/>
      <c r="AJ30" s="726"/>
      <c r="AK30" s="110"/>
      <c r="AL30" s="105"/>
      <c r="AM30" s="105"/>
    </row>
    <row r="31" spans="1:39" ht="2.5" customHeight="1">
      <c r="A31" s="105"/>
      <c r="B31" s="105"/>
      <c r="C31" s="109"/>
      <c r="D31" s="169"/>
      <c r="E31" s="169"/>
      <c r="F31" s="169"/>
      <c r="G31" s="169"/>
      <c r="H31" s="169"/>
      <c r="I31" s="169"/>
      <c r="J31" s="169"/>
      <c r="K31" s="169"/>
      <c r="L31" s="169"/>
      <c r="M31" s="169"/>
      <c r="N31" s="169"/>
      <c r="O31" s="169"/>
      <c r="P31" s="105"/>
      <c r="Q31" s="105"/>
      <c r="R31" s="105"/>
      <c r="S31" s="202"/>
      <c r="T31" s="127"/>
      <c r="U31" s="127"/>
      <c r="V31" s="127"/>
      <c r="W31" s="127"/>
      <c r="X31" s="127"/>
      <c r="Y31" s="127"/>
      <c r="Z31" s="127"/>
      <c r="AA31" s="127"/>
      <c r="AB31" s="127"/>
      <c r="AC31" s="105"/>
      <c r="AD31" s="105"/>
      <c r="AE31" s="105"/>
      <c r="AF31" s="105"/>
      <c r="AG31" s="105"/>
      <c r="AH31" s="105"/>
      <c r="AI31" s="105"/>
      <c r="AJ31" s="105"/>
      <c r="AK31" s="110"/>
      <c r="AL31" s="105"/>
      <c r="AM31" s="105"/>
    </row>
    <row r="32" spans="1:39" ht="12" customHeight="1">
      <c r="A32" s="105"/>
      <c r="B32" s="105"/>
      <c r="C32" s="109"/>
      <c r="D32" s="678" t="s">
        <v>176</v>
      </c>
      <c r="E32" s="678"/>
      <c r="F32" s="678"/>
      <c r="G32" s="678"/>
      <c r="H32" s="678"/>
      <c r="I32" s="678"/>
      <c r="J32" s="678"/>
      <c r="K32" s="678"/>
      <c r="L32" s="678"/>
      <c r="M32" s="678"/>
      <c r="N32" s="678"/>
      <c r="O32" s="678"/>
      <c r="P32" s="678"/>
      <c r="Q32" s="678"/>
      <c r="R32" s="678"/>
      <c r="S32" s="678"/>
      <c r="T32" s="678"/>
      <c r="U32" s="678"/>
      <c r="V32" s="678"/>
      <c r="W32" s="678"/>
      <c r="X32" s="565" t="s">
        <v>177</v>
      </c>
      <c r="Y32" s="565"/>
      <c r="Z32" s="565"/>
      <c r="AA32" s="565"/>
      <c r="AB32" s="565"/>
      <c r="AC32" s="565"/>
      <c r="AD32" s="565"/>
      <c r="AE32" s="105"/>
      <c r="AF32" s="105"/>
      <c r="AG32" s="105"/>
      <c r="AH32" s="105"/>
      <c r="AI32" s="105"/>
      <c r="AJ32" s="105"/>
      <c r="AK32" s="110"/>
      <c r="AL32" s="105"/>
      <c r="AM32" s="105"/>
    </row>
    <row r="33" spans="1:39" ht="12" customHeight="1">
      <c r="A33" s="105"/>
      <c r="B33" s="105"/>
      <c r="C33" s="109"/>
      <c r="D33" s="678"/>
      <c r="E33" s="678"/>
      <c r="F33" s="678"/>
      <c r="G33" s="678"/>
      <c r="H33" s="678"/>
      <c r="I33" s="678"/>
      <c r="J33" s="678"/>
      <c r="K33" s="678"/>
      <c r="L33" s="678"/>
      <c r="M33" s="678"/>
      <c r="N33" s="678"/>
      <c r="O33" s="678"/>
      <c r="P33" s="678"/>
      <c r="Q33" s="678"/>
      <c r="R33" s="678"/>
      <c r="S33" s="678"/>
      <c r="T33" s="678"/>
      <c r="U33" s="678"/>
      <c r="V33" s="678"/>
      <c r="W33" s="678"/>
      <c r="X33" s="565"/>
      <c r="Y33" s="565"/>
      <c r="Z33" s="565"/>
      <c r="AA33" s="565"/>
      <c r="AB33" s="565"/>
      <c r="AC33" s="565"/>
      <c r="AD33" s="565"/>
      <c r="AE33" s="105"/>
      <c r="AF33" s="105"/>
      <c r="AG33" s="105"/>
      <c r="AH33" s="105"/>
      <c r="AI33" s="105"/>
      <c r="AJ33" s="105"/>
      <c r="AK33" s="110"/>
      <c r="AL33" s="105"/>
      <c r="AM33" s="105"/>
    </row>
    <row r="34" spans="1:39" ht="6.65" customHeight="1">
      <c r="A34" s="105"/>
      <c r="B34" s="105"/>
      <c r="C34" s="109"/>
      <c r="D34" s="169"/>
      <c r="E34" s="169"/>
      <c r="F34" s="169"/>
      <c r="G34" s="169"/>
      <c r="H34" s="169"/>
      <c r="I34" s="169"/>
      <c r="J34" s="169"/>
      <c r="K34" s="169"/>
      <c r="L34" s="169"/>
      <c r="M34" s="169"/>
      <c r="N34" s="169"/>
      <c r="O34" s="169"/>
      <c r="P34" s="105"/>
      <c r="Q34" s="105"/>
      <c r="R34" s="105"/>
      <c r="S34" s="202"/>
      <c r="T34" s="127"/>
      <c r="U34" s="127"/>
      <c r="V34" s="127"/>
      <c r="W34" s="127"/>
      <c r="X34" s="127"/>
      <c r="Y34" s="127"/>
      <c r="Z34" s="127"/>
      <c r="AA34" s="127"/>
      <c r="AB34" s="127"/>
      <c r="AC34" s="105"/>
      <c r="AD34" s="105"/>
      <c r="AE34" s="105"/>
      <c r="AF34" s="105"/>
      <c r="AG34" s="105"/>
      <c r="AH34" s="105"/>
      <c r="AI34" s="105"/>
      <c r="AJ34" s="105"/>
      <c r="AK34" s="110"/>
      <c r="AL34" s="105"/>
      <c r="AM34" s="105"/>
    </row>
    <row r="35" spans="1:39" ht="23.25" customHeight="1">
      <c r="A35" s="105"/>
      <c r="B35" s="105"/>
      <c r="C35" s="109"/>
      <c r="D35" s="726" t="s">
        <v>178</v>
      </c>
      <c r="E35" s="726"/>
      <c r="F35" s="726"/>
      <c r="G35" s="726"/>
      <c r="H35" s="726"/>
      <c r="I35" s="726"/>
      <c r="J35" s="726"/>
      <c r="K35" s="726"/>
      <c r="L35" s="726"/>
      <c r="M35" s="726"/>
      <c r="N35" s="726"/>
      <c r="O35" s="726"/>
      <c r="P35" s="726"/>
      <c r="Q35" s="726"/>
      <c r="R35" s="726"/>
      <c r="S35" s="726"/>
      <c r="T35" s="726"/>
      <c r="U35" s="726"/>
      <c r="V35" s="726"/>
      <c r="W35" s="726"/>
      <c r="X35" s="726"/>
      <c r="Y35" s="726"/>
      <c r="Z35" s="726"/>
      <c r="AA35" s="726"/>
      <c r="AB35" s="726"/>
      <c r="AC35" s="726"/>
      <c r="AD35" s="726"/>
      <c r="AE35" s="726"/>
      <c r="AF35" s="726"/>
      <c r="AG35" s="726"/>
      <c r="AH35" s="726"/>
      <c r="AI35" s="726"/>
      <c r="AJ35" s="726"/>
      <c r="AK35" s="110"/>
      <c r="AL35" s="105"/>
      <c r="AM35" s="105"/>
    </row>
    <row r="36" spans="1:39" ht="2.25" customHeight="1">
      <c r="A36" s="105"/>
      <c r="B36" s="105"/>
      <c r="C36" s="109"/>
      <c r="D36" s="170"/>
      <c r="E36" s="169"/>
      <c r="F36" s="169"/>
      <c r="G36" s="169"/>
      <c r="H36" s="169"/>
      <c r="I36" s="169"/>
      <c r="J36" s="169"/>
      <c r="K36" s="169"/>
      <c r="L36" s="169"/>
      <c r="M36" s="169"/>
      <c r="N36" s="169"/>
      <c r="O36" s="169"/>
      <c r="P36" s="105"/>
      <c r="Q36" s="105"/>
      <c r="R36" s="105"/>
      <c r="S36" s="202"/>
      <c r="T36" s="127"/>
      <c r="U36" s="127"/>
      <c r="V36" s="127"/>
      <c r="W36" s="127"/>
      <c r="X36" s="127"/>
      <c r="Y36" s="127"/>
      <c r="Z36" s="127"/>
      <c r="AA36" s="127"/>
      <c r="AB36" s="127"/>
      <c r="AC36" s="105"/>
      <c r="AD36" s="105"/>
      <c r="AE36" s="105"/>
      <c r="AF36" s="105"/>
      <c r="AG36" s="105"/>
      <c r="AH36" s="105"/>
      <c r="AI36" s="105"/>
      <c r="AJ36" s="105"/>
      <c r="AK36" s="110"/>
      <c r="AL36" s="105"/>
      <c r="AM36" s="105"/>
    </row>
    <row r="37" spans="1:39" ht="14.25" customHeight="1">
      <c r="A37" s="105"/>
      <c r="B37" s="105"/>
      <c r="C37" s="109"/>
      <c r="D37" s="678" t="s">
        <v>179</v>
      </c>
      <c r="E37" s="678"/>
      <c r="F37" s="678"/>
      <c r="G37" s="678"/>
      <c r="H37" s="678"/>
      <c r="I37" s="678"/>
      <c r="J37" s="678"/>
      <c r="K37" s="678"/>
      <c r="L37" s="678"/>
      <c r="M37" s="678"/>
      <c r="N37" s="678"/>
      <c r="O37" s="678"/>
      <c r="P37" s="678"/>
      <c r="Q37" s="678"/>
      <c r="R37" s="678"/>
      <c r="S37" s="678"/>
      <c r="T37" s="678"/>
      <c r="U37" s="678"/>
      <c r="V37" s="678"/>
      <c r="W37" s="678"/>
      <c r="X37" s="678" t="s">
        <v>180</v>
      </c>
      <c r="Y37" s="678"/>
      <c r="Z37" s="678"/>
      <c r="AA37" s="678"/>
      <c r="AB37" s="678"/>
      <c r="AC37" s="678"/>
      <c r="AD37" s="678"/>
      <c r="AE37" s="105"/>
      <c r="AF37" s="105"/>
      <c r="AG37" s="105"/>
      <c r="AH37" s="105"/>
      <c r="AI37" s="105"/>
      <c r="AJ37" s="105"/>
      <c r="AK37" s="110"/>
      <c r="AL37" s="105"/>
      <c r="AM37" s="105"/>
    </row>
    <row r="38" spans="1:39" ht="14.25" customHeight="1">
      <c r="A38" s="105"/>
      <c r="B38" s="105"/>
      <c r="C38" s="109"/>
      <c r="D38" s="678"/>
      <c r="E38" s="678"/>
      <c r="F38" s="678"/>
      <c r="G38" s="678"/>
      <c r="H38" s="678"/>
      <c r="I38" s="678"/>
      <c r="J38" s="678"/>
      <c r="K38" s="678"/>
      <c r="L38" s="678"/>
      <c r="M38" s="678"/>
      <c r="N38" s="678"/>
      <c r="O38" s="678"/>
      <c r="P38" s="678"/>
      <c r="Q38" s="678"/>
      <c r="R38" s="678"/>
      <c r="S38" s="678"/>
      <c r="T38" s="678"/>
      <c r="U38" s="678"/>
      <c r="V38" s="678"/>
      <c r="W38" s="678"/>
      <c r="X38" s="678"/>
      <c r="Y38" s="678"/>
      <c r="Z38" s="678"/>
      <c r="AA38" s="678"/>
      <c r="AB38" s="678"/>
      <c r="AC38" s="678"/>
      <c r="AD38" s="678"/>
      <c r="AE38" s="105"/>
      <c r="AF38" s="105"/>
      <c r="AG38" s="105"/>
      <c r="AH38" s="105"/>
      <c r="AI38" s="105"/>
      <c r="AJ38" s="105"/>
      <c r="AK38" s="110"/>
      <c r="AL38" s="105"/>
      <c r="AM38" s="105"/>
    </row>
    <row r="39" spans="1:39" ht="11.25" customHeight="1">
      <c r="A39" s="105"/>
      <c r="B39" s="105"/>
      <c r="C39" s="109"/>
      <c r="D39" s="171"/>
      <c r="E39" s="169"/>
      <c r="F39" s="169"/>
      <c r="G39" s="169"/>
      <c r="H39" s="169"/>
      <c r="I39" s="169"/>
      <c r="J39" s="169"/>
      <c r="K39" s="169"/>
      <c r="L39" s="169"/>
      <c r="M39" s="169"/>
      <c r="N39" s="169"/>
      <c r="O39" s="169"/>
      <c r="P39" s="207"/>
      <c r="Q39" s="112"/>
      <c r="R39" s="112"/>
      <c r="S39" s="112"/>
      <c r="T39" s="112"/>
      <c r="U39" s="112"/>
      <c r="V39" s="112"/>
      <c r="W39" s="112"/>
      <c r="X39" s="112"/>
      <c r="Y39" s="112"/>
      <c r="Z39" s="112"/>
      <c r="AA39" s="112"/>
      <c r="AB39" s="112"/>
      <c r="AC39" s="112"/>
      <c r="AD39" s="112"/>
      <c r="AE39" s="112"/>
      <c r="AF39" s="207"/>
      <c r="AG39" s="207"/>
      <c r="AH39" s="207"/>
      <c r="AI39" s="207"/>
      <c r="AJ39" s="207"/>
      <c r="AK39" s="197"/>
      <c r="AL39" s="105"/>
      <c r="AM39" s="105"/>
    </row>
    <row r="40" spans="1:39" ht="14.25" customHeight="1">
      <c r="A40" s="105"/>
      <c r="B40" s="105"/>
      <c r="C40" s="109"/>
      <c r="D40" s="125" t="s">
        <v>181</v>
      </c>
      <c r="E40" s="169"/>
      <c r="F40" s="169"/>
      <c r="G40" s="169"/>
      <c r="H40" s="169"/>
      <c r="I40" s="169"/>
      <c r="J40" s="169"/>
      <c r="K40" s="169"/>
      <c r="L40" s="169"/>
      <c r="M40" s="169"/>
      <c r="N40" s="169"/>
      <c r="O40" s="169"/>
      <c r="P40" s="207"/>
      <c r="Q40" s="112"/>
      <c r="R40" s="112"/>
      <c r="S40" s="112"/>
      <c r="T40" s="112"/>
      <c r="U40" s="112"/>
      <c r="V40" s="112"/>
      <c r="W40" s="112"/>
      <c r="X40" s="112"/>
      <c r="Y40" s="112"/>
      <c r="Z40" s="112"/>
      <c r="AA40" s="112"/>
      <c r="AB40" s="112"/>
      <c r="AC40" s="112"/>
      <c r="AD40" s="112"/>
      <c r="AE40" s="112"/>
      <c r="AF40" s="207"/>
      <c r="AG40" s="207"/>
      <c r="AH40" s="207"/>
      <c r="AI40" s="207"/>
      <c r="AJ40" s="207"/>
      <c r="AK40" s="197"/>
      <c r="AL40" s="105"/>
      <c r="AM40" s="105"/>
    </row>
    <row r="41" spans="1:39" ht="14.25" customHeight="1">
      <c r="A41" s="105"/>
      <c r="B41" s="105"/>
      <c r="C41" s="109"/>
      <c r="D41" s="565" t="s">
        <v>182</v>
      </c>
      <c r="E41" s="565"/>
      <c r="F41" s="565"/>
      <c r="G41" s="565"/>
      <c r="H41" s="565"/>
      <c r="I41" s="565"/>
      <c r="J41" s="565" t="s">
        <v>183</v>
      </c>
      <c r="K41" s="565"/>
      <c r="L41" s="565"/>
      <c r="M41" s="565"/>
      <c r="N41" s="565"/>
      <c r="O41" s="565"/>
      <c r="P41" s="565"/>
      <c r="Q41" s="565"/>
      <c r="R41" s="565"/>
      <c r="S41" s="565"/>
      <c r="T41" s="565"/>
      <c r="U41" s="565"/>
      <c r="V41" s="576"/>
      <c r="W41" s="576"/>
      <c r="X41" s="576"/>
      <c r="Y41" s="576"/>
      <c r="Z41" s="576"/>
      <c r="AA41" s="576"/>
      <c r="AB41" s="576"/>
      <c r="AC41" s="576"/>
      <c r="AD41" s="576"/>
      <c r="AE41" s="576"/>
      <c r="AF41" s="576"/>
      <c r="AG41" s="576"/>
      <c r="AH41" s="576"/>
      <c r="AI41" s="576"/>
      <c r="AJ41" s="576"/>
      <c r="AK41" s="197"/>
      <c r="AL41" s="105"/>
      <c r="AM41" s="105"/>
    </row>
    <row r="42" spans="1:39" ht="14.25" customHeight="1">
      <c r="A42" s="105"/>
      <c r="B42" s="105"/>
      <c r="C42" s="109"/>
      <c r="D42" s="565"/>
      <c r="E42" s="565"/>
      <c r="F42" s="565"/>
      <c r="G42" s="565"/>
      <c r="H42" s="565"/>
      <c r="I42" s="565"/>
      <c r="J42" s="565"/>
      <c r="K42" s="565"/>
      <c r="L42" s="565"/>
      <c r="M42" s="565"/>
      <c r="N42" s="565"/>
      <c r="O42" s="565"/>
      <c r="P42" s="565"/>
      <c r="Q42" s="565"/>
      <c r="R42" s="565"/>
      <c r="S42" s="565"/>
      <c r="T42" s="565"/>
      <c r="U42" s="565"/>
      <c r="V42" s="112"/>
      <c r="W42" s="112"/>
      <c r="X42" s="112"/>
      <c r="Y42" s="112"/>
      <c r="Z42" s="172"/>
      <c r="AA42" s="172"/>
      <c r="AB42" s="172"/>
      <c r="AC42" s="172"/>
      <c r="AD42" s="172"/>
      <c r="AE42" s="172"/>
      <c r="AF42" s="172"/>
      <c r="AG42" s="172"/>
      <c r="AH42" s="172"/>
      <c r="AI42" s="207"/>
      <c r="AJ42" s="207"/>
      <c r="AK42" s="197"/>
      <c r="AL42" s="105"/>
      <c r="AM42" s="105"/>
    </row>
    <row r="43" spans="1:39" ht="9.75" customHeight="1">
      <c r="A43" s="105"/>
      <c r="B43" s="105"/>
      <c r="C43" s="109"/>
      <c r="D43" s="112"/>
      <c r="E43" s="112"/>
      <c r="F43" s="112"/>
      <c r="G43" s="112"/>
      <c r="H43" s="112"/>
      <c r="I43" s="112"/>
      <c r="J43" s="112"/>
      <c r="K43" s="112"/>
      <c r="L43" s="112"/>
      <c r="M43" s="112"/>
      <c r="N43" s="112"/>
      <c r="O43" s="112"/>
      <c r="P43" s="112"/>
      <c r="Q43" s="112"/>
      <c r="R43" s="112"/>
      <c r="S43" s="112"/>
      <c r="T43" s="112"/>
      <c r="U43" s="112"/>
      <c r="V43" s="112"/>
      <c r="W43" s="112"/>
      <c r="X43" s="112"/>
      <c r="Y43" s="112"/>
      <c r="Z43" s="112"/>
      <c r="AA43" s="112"/>
      <c r="AB43" s="112"/>
      <c r="AC43" s="112"/>
      <c r="AD43" s="112"/>
      <c r="AE43" s="112"/>
      <c r="AF43" s="112"/>
      <c r="AG43" s="112"/>
      <c r="AH43" s="112"/>
      <c r="AI43" s="112"/>
      <c r="AJ43" s="112"/>
      <c r="AK43" s="197"/>
      <c r="AL43" s="105"/>
      <c r="AM43" s="105"/>
    </row>
    <row r="44" spans="1:39" ht="14.25" customHeight="1">
      <c r="A44" s="105"/>
      <c r="B44" s="105"/>
      <c r="C44" s="109"/>
      <c r="D44" s="126" t="s">
        <v>184</v>
      </c>
      <c r="E44" s="173"/>
      <c r="F44" s="173"/>
      <c r="G44" s="173"/>
      <c r="H44" s="173"/>
      <c r="I44" s="173"/>
      <c r="J44" s="173"/>
      <c r="K44" s="173"/>
      <c r="L44" s="173"/>
      <c r="M44" s="173"/>
      <c r="N44" s="173"/>
      <c r="O44" s="173"/>
      <c r="P44" s="173"/>
      <c r="Q44" s="173"/>
      <c r="R44" s="173"/>
      <c r="S44" s="173"/>
      <c r="T44" s="173"/>
      <c r="U44" s="173"/>
      <c r="V44" s="173"/>
      <c r="W44" s="173"/>
      <c r="X44" s="173"/>
      <c r="Y44" s="173"/>
      <c r="Z44" s="173"/>
      <c r="AA44" s="173"/>
      <c r="AB44" s="173"/>
      <c r="AC44" s="173"/>
      <c r="AD44" s="173"/>
      <c r="AE44" s="173"/>
      <c r="AF44" s="173"/>
      <c r="AG44" s="173"/>
      <c r="AH44" s="173"/>
      <c r="AI44" s="173"/>
      <c r="AJ44" s="173"/>
      <c r="AK44" s="197"/>
      <c r="AL44" s="105"/>
      <c r="AM44" s="105"/>
    </row>
    <row r="45" spans="1:39" ht="14.25" customHeight="1">
      <c r="A45" s="105"/>
      <c r="B45" s="105"/>
      <c r="C45" s="109"/>
      <c r="D45" s="678" t="s">
        <v>185</v>
      </c>
      <c r="E45" s="678"/>
      <c r="F45" s="678"/>
      <c r="G45" s="678"/>
      <c r="H45" s="678"/>
      <c r="I45" s="678"/>
      <c r="J45" s="471" t="s">
        <v>186</v>
      </c>
      <c r="K45" s="471"/>
      <c r="L45" s="471"/>
      <c r="M45" s="471"/>
      <c r="N45" s="471"/>
      <c r="O45" s="565" t="s">
        <v>187</v>
      </c>
      <c r="P45" s="565"/>
      <c r="Q45" s="565"/>
      <c r="R45" s="565"/>
      <c r="S45" s="565"/>
      <c r="T45" s="565"/>
      <c r="U45" s="565"/>
      <c r="V45" s="174" t="s">
        <v>188</v>
      </c>
      <c r="W45" s="174"/>
      <c r="X45" s="174"/>
      <c r="Y45" s="175"/>
      <c r="Z45" s="176"/>
      <c r="AA45" s="176"/>
      <c r="AB45" s="176"/>
      <c r="AC45" s="176"/>
      <c r="AD45" s="176"/>
      <c r="AE45" s="176"/>
      <c r="AF45" s="148"/>
      <c r="AG45" s="148"/>
      <c r="AH45" s="148"/>
      <c r="AI45" s="148"/>
      <c r="AJ45" s="165"/>
      <c r="AK45" s="197"/>
      <c r="AL45" s="105"/>
      <c r="AM45" s="105"/>
    </row>
    <row r="46" spans="1:39" ht="14.25" customHeight="1">
      <c r="A46" s="105"/>
      <c r="B46" s="105"/>
      <c r="C46" s="109"/>
      <c r="D46" s="678"/>
      <c r="E46" s="678"/>
      <c r="F46" s="678"/>
      <c r="G46" s="678"/>
      <c r="H46" s="678"/>
      <c r="I46" s="678"/>
      <c r="J46" s="471"/>
      <c r="K46" s="471"/>
      <c r="L46" s="471"/>
      <c r="M46" s="471"/>
      <c r="N46" s="471"/>
      <c r="O46" s="565"/>
      <c r="P46" s="565"/>
      <c r="Q46" s="565"/>
      <c r="R46" s="565"/>
      <c r="S46" s="565"/>
      <c r="T46" s="565"/>
      <c r="U46" s="565"/>
      <c r="V46" s="177"/>
      <c r="W46" s="177"/>
      <c r="X46" s="177"/>
      <c r="Y46" s="177"/>
      <c r="Z46" s="177"/>
      <c r="AA46" s="177"/>
      <c r="AB46" s="177"/>
      <c r="AC46" s="177"/>
      <c r="AD46" s="177"/>
      <c r="AE46" s="177"/>
      <c r="AF46" s="208"/>
      <c r="AG46" s="208"/>
      <c r="AH46" s="208"/>
      <c r="AI46" s="208"/>
      <c r="AJ46" s="209"/>
      <c r="AK46" s="197"/>
      <c r="AL46" s="105"/>
      <c r="AM46" s="105"/>
    </row>
    <row r="47" spans="1:39" ht="2.25" customHeight="1">
      <c r="A47" s="105"/>
      <c r="B47" s="105"/>
      <c r="C47" s="109"/>
      <c r="D47" s="162"/>
      <c r="E47" s="132"/>
      <c r="F47" s="132"/>
      <c r="G47" s="132"/>
      <c r="H47" s="132"/>
      <c r="I47" s="132"/>
      <c r="J47" s="196"/>
      <c r="K47" s="196"/>
      <c r="L47" s="196"/>
      <c r="M47" s="196"/>
      <c r="N47" s="196"/>
      <c r="O47" s="201"/>
      <c r="P47" s="201"/>
      <c r="Q47" s="201"/>
      <c r="R47" s="201"/>
      <c r="S47" s="201"/>
      <c r="T47" s="201"/>
      <c r="U47" s="201"/>
      <c r="V47" s="160"/>
      <c r="W47" s="160"/>
      <c r="X47" s="160"/>
      <c r="Y47" s="160"/>
      <c r="Z47" s="160"/>
      <c r="AA47" s="160"/>
      <c r="AB47" s="160"/>
      <c r="AC47" s="160"/>
      <c r="AD47" s="160"/>
      <c r="AE47" s="160"/>
      <c r="AF47" s="207"/>
      <c r="AG47" s="207"/>
      <c r="AH47" s="207"/>
      <c r="AI47" s="207"/>
      <c r="AJ47" s="207"/>
      <c r="AK47" s="197"/>
      <c r="AL47" s="105"/>
      <c r="AM47" s="105"/>
    </row>
    <row r="48" spans="1:39" ht="57.75" customHeight="1">
      <c r="A48" s="105"/>
      <c r="B48" s="105"/>
      <c r="C48" s="109"/>
      <c r="D48" s="180" t="s">
        <v>129</v>
      </c>
      <c r="E48" s="681" t="s">
        <v>189</v>
      </c>
      <c r="F48" s="681"/>
      <c r="G48" s="681"/>
      <c r="H48" s="681"/>
      <c r="I48" s="681"/>
      <c r="J48" s="681"/>
      <c r="K48" s="681"/>
      <c r="L48" s="681"/>
      <c r="M48" s="681"/>
      <c r="N48" s="681"/>
      <c r="O48" s="681"/>
      <c r="P48" s="681"/>
      <c r="Q48" s="681"/>
      <c r="R48" s="681"/>
      <c r="S48" s="681"/>
      <c r="T48" s="681"/>
      <c r="U48" s="681"/>
      <c r="V48" s="681"/>
      <c r="W48" s="681"/>
      <c r="X48" s="681"/>
      <c r="Y48" s="681"/>
      <c r="Z48" s="681"/>
      <c r="AA48" s="681"/>
      <c r="AB48" s="681"/>
      <c r="AC48" s="681"/>
      <c r="AD48" s="681"/>
      <c r="AE48" s="681"/>
      <c r="AF48" s="681"/>
      <c r="AG48" s="681"/>
      <c r="AH48" s="681"/>
      <c r="AI48" s="681"/>
      <c r="AJ48" s="681"/>
      <c r="AK48" s="181"/>
      <c r="AL48" s="105"/>
      <c r="AM48" s="105"/>
    </row>
    <row r="49" spans="1:39" ht="14.25" customHeight="1">
      <c r="A49" s="105"/>
      <c r="B49" s="105"/>
      <c r="C49" s="109"/>
      <c r="D49" s="134" t="s">
        <v>190</v>
      </c>
      <c r="E49" s="208"/>
      <c r="F49" s="136"/>
      <c r="G49" s="136"/>
      <c r="H49" s="137"/>
      <c r="I49" s="137"/>
      <c r="J49" s="137"/>
      <c r="K49" s="137"/>
      <c r="L49" s="137"/>
      <c r="M49" s="137"/>
      <c r="N49" s="137"/>
      <c r="O49" s="138"/>
      <c r="P49" s="137"/>
      <c r="Q49" s="137"/>
      <c r="R49" s="137"/>
      <c r="S49" s="208"/>
      <c r="T49" s="136"/>
      <c r="U49" s="136"/>
      <c r="V49" s="136"/>
      <c r="W49" s="136"/>
      <c r="X49" s="136"/>
      <c r="Y49" s="136"/>
      <c r="Z49" s="136"/>
      <c r="AA49" s="136"/>
      <c r="AB49" s="136"/>
      <c r="AC49" s="137"/>
      <c r="AD49" s="137"/>
      <c r="AE49" s="137"/>
      <c r="AF49" s="137"/>
      <c r="AG49" s="137"/>
      <c r="AH49" s="137"/>
      <c r="AI49" s="137"/>
      <c r="AJ49" s="137"/>
      <c r="AK49" s="110"/>
      <c r="AL49" s="105"/>
      <c r="AM49" s="105"/>
    </row>
    <row r="50" spans="1:39" ht="14.25" customHeight="1">
      <c r="A50" s="105"/>
      <c r="B50" s="105"/>
      <c r="C50" s="109"/>
      <c r="D50" s="511" t="s">
        <v>139</v>
      </c>
      <c r="E50" s="511"/>
      <c r="F50" s="511"/>
      <c r="G50" s="511"/>
      <c r="H50" s="512" t="s">
        <v>191</v>
      </c>
      <c r="I50" s="513"/>
      <c r="J50" s="513"/>
      <c r="K50" s="513"/>
      <c r="L50" s="513"/>
      <c r="M50" s="513"/>
      <c r="N50" s="513"/>
      <c r="O50" s="513"/>
      <c r="P50" s="513"/>
      <c r="Q50" s="513"/>
      <c r="R50" s="513"/>
      <c r="S50" s="513"/>
      <c r="T50" s="513"/>
      <c r="U50" s="513"/>
      <c r="V50" s="513"/>
      <c r="W50" s="514"/>
      <c r="X50" s="521" t="s">
        <v>140</v>
      </c>
      <c r="Y50" s="522"/>
      <c r="Z50" s="522"/>
      <c r="AA50" s="522"/>
      <c r="AB50" s="522"/>
      <c r="AC50" s="523"/>
      <c r="AD50" s="453"/>
      <c r="AE50" s="454"/>
      <c r="AF50" s="454"/>
      <c r="AG50" s="454"/>
      <c r="AH50" s="454"/>
      <c r="AI50" s="454"/>
      <c r="AJ50" s="455"/>
      <c r="AK50" s="110"/>
      <c r="AL50" s="105"/>
      <c r="AM50" s="105"/>
    </row>
    <row r="51" spans="1:39" ht="14.25" customHeight="1">
      <c r="A51" s="105"/>
      <c r="B51" s="105"/>
      <c r="C51" s="109"/>
      <c r="D51" s="511"/>
      <c r="E51" s="511"/>
      <c r="F51" s="511"/>
      <c r="G51" s="511"/>
      <c r="H51" s="518"/>
      <c r="I51" s="519"/>
      <c r="J51" s="519"/>
      <c r="K51" s="519"/>
      <c r="L51" s="519"/>
      <c r="M51" s="519"/>
      <c r="N51" s="519"/>
      <c r="O51" s="519"/>
      <c r="P51" s="519"/>
      <c r="Q51" s="519"/>
      <c r="R51" s="519"/>
      <c r="S51" s="519"/>
      <c r="T51" s="519"/>
      <c r="U51" s="519"/>
      <c r="V51" s="519"/>
      <c r="W51" s="520"/>
      <c r="X51" s="527"/>
      <c r="Y51" s="528"/>
      <c r="Z51" s="528"/>
      <c r="AA51" s="528"/>
      <c r="AB51" s="528"/>
      <c r="AC51" s="529"/>
      <c r="AD51" s="459"/>
      <c r="AE51" s="460"/>
      <c r="AF51" s="460"/>
      <c r="AG51" s="460"/>
      <c r="AH51" s="460"/>
      <c r="AI51" s="460"/>
      <c r="AJ51" s="461"/>
      <c r="AK51" s="110"/>
      <c r="AL51" s="105"/>
      <c r="AM51" s="105"/>
    </row>
    <row r="52" spans="1:39" ht="14.25" customHeight="1">
      <c r="A52" s="105"/>
      <c r="B52" s="105"/>
      <c r="C52" s="109"/>
      <c r="D52" s="511" t="s">
        <v>127</v>
      </c>
      <c r="E52" s="511"/>
      <c r="F52" s="511"/>
      <c r="G52" s="511"/>
      <c r="H52" s="453"/>
      <c r="I52" s="454"/>
      <c r="J52" s="454"/>
      <c r="K52" s="454"/>
      <c r="L52" s="454"/>
      <c r="M52" s="454"/>
      <c r="N52" s="454"/>
      <c r="O52" s="454"/>
      <c r="P52" s="454"/>
      <c r="Q52" s="454"/>
      <c r="R52" s="454"/>
      <c r="S52" s="454"/>
      <c r="T52" s="454"/>
      <c r="U52" s="454"/>
      <c r="V52" s="454"/>
      <c r="W52" s="454"/>
      <c r="X52" s="454"/>
      <c r="Y52" s="454"/>
      <c r="Z52" s="454"/>
      <c r="AA52" s="454"/>
      <c r="AB52" s="454"/>
      <c r="AC52" s="454"/>
      <c r="AD52" s="454"/>
      <c r="AE52" s="454"/>
      <c r="AF52" s="454"/>
      <c r="AG52" s="454"/>
      <c r="AH52" s="454"/>
      <c r="AI52" s="454"/>
      <c r="AJ52" s="455"/>
      <c r="AK52" s="197"/>
      <c r="AL52" s="105"/>
      <c r="AM52" s="105"/>
    </row>
    <row r="53" spans="1:39" ht="14.25" customHeight="1">
      <c r="A53" s="105"/>
      <c r="B53" s="105"/>
      <c r="C53" s="109"/>
      <c r="D53" s="511"/>
      <c r="E53" s="511"/>
      <c r="F53" s="511"/>
      <c r="G53" s="511"/>
      <c r="H53" s="459"/>
      <c r="I53" s="460"/>
      <c r="J53" s="460"/>
      <c r="K53" s="460"/>
      <c r="L53" s="460"/>
      <c r="M53" s="460"/>
      <c r="N53" s="460"/>
      <c r="O53" s="460"/>
      <c r="P53" s="460"/>
      <c r="Q53" s="460"/>
      <c r="R53" s="460"/>
      <c r="S53" s="460"/>
      <c r="T53" s="460"/>
      <c r="U53" s="460"/>
      <c r="V53" s="460"/>
      <c r="W53" s="460"/>
      <c r="X53" s="460"/>
      <c r="Y53" s="460"/>
      <c r="Z53" s="460"/>
      <c r="AA53" s="460"/>
      <c r="AB53" s="460"/>
      <c r="AC53" s="460"/>
      <c r="AD53" s="460"/>
      <c r="AE53" s="460"/>
      <c r="AF53" s="460"/>
      <c r="AG53" s="460"/>
      <c r="AH53" s="460"/>
      <c r="AI53" s="460"/>
      <c r="AJ53" s="461"/>
      <c r="AK53" s="197"/>
      <c r="AL53" s="105"/>
      <c r="AM53" s="105"/>
    </row>
    <row r="54" spans="1:39" ht="14.25" customHeight="1">
      <c r="A54" s="105"/>
      <c r="B54" s="105"/>
      <c r="C54" s="109"/>
      <c r="D54" s="462" t="s">
        <v>128</v>
      </c>
      <c r="E54" s="463"/>
      <c r="F54" s="463"/>
      <c r="G54" s="464"/>
      <c r="H54" s="484"/>
      <c r="I54" s="485"/>
      <c r="J54" s="485"/>
      <c r="K54" s="485"/>
      <c r="L54" s="485"/>
      <c r="M54" s="485"/>
      <c r="N54" s="485"/>
      <c r="O54" s="485"/>
      <c r="P54" s="485"/>
      <c r="Q54" s="485"/>
      <c r="R54" s="485"/>
      <c r="S54" s="485"/>
      <c r="T54" s="485"/>
      <c r="U54" s="485"/>
      <c r="V54" s="485"/>
      <c r="W54" s="485"/>
      <c r="X54" s="485"/>
      <c r="Y54" s="485"/>
      <c r="Z54" s="485"/>
      <c r="AA54" s="485"/>
      <c r="AB54" s="485"/>
      <c r="AC54" s="485"/>
      <c r="AD54" s="485"/>
      <c r="AE54" s="485"/>
      <c r="AF54" s="485"/>
      <c r="AG54" s="485"/>
      <c r="AH54" s="485"/>
      <c r="AI54" s="485"/>
      <c r="AJ54" s="486"/>
      <c r="AK54" s="200"/>
      <c r="AL54" s="105"/>
      <c r="AM54" s="105"/>
    </row>
    <row r="55" spans="1:39" ht="14.25" customHeight="1">
      <c r="A55" s="105"/>
      <c r="B55" s="105"/>
      <c r="C55" s="109"/>
      <c r="D55" s="468"/>
      <c r="E55" s="469"/>
      <c r="F55" s="469"/>
      <c r="G55" s="470"/>
      <c r="H55" s="490"/>
      <c r="I55" s="491"/>
      <c r="J55" s="491"/>
      <c r="K55" s="491"/>
      <c r="L55" s="491"/>
      <c r="M55" s="491"/>
      <c r="N55" s="491"/>
      <c r="O55" s="491"/>
      <c r="P55" s="491"/>
      <c r="Q55" s="491"/>
      <c r="R55" s="491"/>
      <c r="S55" s="491"/>
      <c r="T55" s="491"/>
      <c r="U55" s="491"/>
      <c r="V55" s="491"/>
      <c r="W55" s="491"/>
      <c r="X55" s="491"/>
      <c r="Y55" s="491"/>
      <c r="Z55" s="491"/>
      <c r="AA55" s="491"/>
      <c r="AB55" s="491"/>
      <c r="AC55" s="491"/>
      <c r="AD55" s="491"/>
      <c r="AE55" s="491"/>
      <c r="AF55" s="491"/>
      <c r="AG55" s="491"/>
      <c r="AH55" s="491"/>
      <c r="AI55" s="491"/>
      <c r="AJ55" s="492"/>
      <c r="AK55" s="200"/>
      <c r="AL55" s="105"/>
      <c r="AM55" s="105"/>
    </row>
    <row r="56" spans="1:39" ht="14.25" customHeight="1">
      <c r="A56" s="105"/>
      <c r="B56" s="105"/>
      <c r="C56" s="109"/>
      <c r="D56" s="724"/>
      <c r="E56" s="725"/>
      <c r="F56" s="725"/>
      <c r="G56" s="725"/>
      <c r="H56" s="725"/>
      <c r="I56" s="725"/>
      <c r="J56" s="725"/>
      <c r="K56" s="725"/>
      <c r="L56" s="725"/>
      <c r="M56" s="725"/>
      <c r="N56" s="725"/>
      <c r="O56" s="725"/>
      <c r="P56" s="725"/>
      <c r="Q56" s="725"/>
      <c r="R56" s="725"/>
      <c r="S56" s="725"/>
      <c r="T56" s="725"/>
      <c r="U56" s="725"/>
      <c r="V56" s="725"/>
      <c r="W56" s="725"/>
      <c r="X56" s="725"/>
      <c r="Y56" s="725"/>
      <c r="Z56" s="725"/>
      <c r="AA56" s="725"/>
      <c r="AB56" s="725"/>
      <c r="AC56" s="725"/>
      <c r="AD56" s="725"/>
      <c r="AE56" s="725"/>
      <c r="AF56" s="725"/>
      <c r="AG56" s="725"/>
      <c r="AH56" s="725"/>
      <c r="AI56" s="725"/>
      <c r="AJ56" s="725"/>
      <c r="AK56" s="142"/>
      <c r="AL56" s="105"/>
      <c r="AM56" s="105"/>
    </row>
    <row r="57" spans="1:39" ht="5.25" customHeight="1">
      <c r="A57" s="105"/>
      <c r="B57" s="105"/>
      <c r="C57" s="109"/>
      <c r="D57" s="198"/>
      <c r="E57" s="199"/>
      <c r="F57" s="199"/>
      <c r="G57" s="199"/>
      <c r="H57" s="199"/>
      <c r="I57" s="199"/>
      <c r="J57" s="199"/>
      <c r="K57" s="199"/>
      <c r="L57" s="199"/>
      <c r="M57" s="199"/>
      <c r="N57" s="199"/>
      <c r="O57" s="199"/>
      <c r="P57" s="199"/>
      <c r="Q57" s="199"/>
      <c r="R57" s="199"/>
      <c r="S57" s="199"/>
      <c r="T57" s="199"/>
      <c r="U57" s="199"/>
      <c r="V57" s="199"/>
      <c r="W57" s="199"/>
      <c r="X57" s="199"/>
      <c r="Y57" s="199"/>
      <c r="Z57" s="199"/>
      <c r="AA57" s="199"/>
      <c r="AB57" s="199"/>
      <c r="AC57" s="199"/>
      <c r="AD57" s="199"/>
      <c r="AE57" s="199"/>
      <c r="AF57" s="199"/>
      <c r="AG57" s="199"/>
      <c r="AH57" s="199"/>
      <c r="AI57" s="199"/>
      <c r="AJ57" s="199"/>
      <c r="AK57" s="142"/>
      <c r="AL57" s="105"/>
      <c r="AM57" s="105"/>
    </row>
    <row r="58" spans="1:39" ht="14.25" customHeight="1">
      <c r="C58" s="111"/>
      <c r="D58" s="125" t="s">
        <v>192</v>
      </c>
      <c r="E58" s="112"/>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c r="AG58" s="112"/>
      <c r="AH58" s="112"/>
      <c r="AI58" s="112"/>
      <c r="AJ58" s="112"/>
      <c r="AK58" s="144"/>
    </row>
    <row r="59" spans="1:39" ht="14.25" customHeight="1">
      <c r="C59" s="111"/>
      <c r="D59" s="679" t="s">
        <v>193</v>
      </c>
      <c r="E59" s="679"/>
      <c r="F59" s="679"/>
      <c r="G59" s="679"/>
      <c r="H59" s="679"/>
      <c r="I59" s="679"/>
      <c r="J59" s="679"/>
      <c r="K59" s="679"/>
      <c r="L59" s="679"/>
      <c r="M59" s="679"/>
      <c r="N59" s="679"/>
      <c r="O59" s="679"/>
      <c r="P59" s="679"/>
      <c r="Q59" s="679"/>
      <c r="R59" s="679"/>
      <c r="S59" s="679"/>
      <c r="T59" s="679" t="s">
        <v>194</v>
      </c>
      <c r="U59" s="679"/>
      <c r="V59" s="679"/>
      <c r="W59" s="679"/>
      <c r="X59" s="679"/>
      <c r="Y59" s="679"/>
      <c r="Z59" s="679"/>
      <c r="AA59" s="679"/>
      <c r="AB59" s="679"/>
      <c r="AC59" s="679"/>
      <c r="AD59" s="679"/>
      <c r="AE59" s="679"/>
      <c r="AF59" s="679"/>
      <c r="AG59" s="679"/>
      <c r="AH59" s="679"/>
      <c r="AI59" s="679"/>
      <c r="AJ59" s="679"/>
      <c r="AK59" s="144"/>
    </row>
    <row r="60" spans="1:39" ht="14.25" customHeight="1">
      <c r="C60" s="111"/>
      <c r="D60" s="505"/>
      <c r="E60" s="506"/>
      <c r="F60" s="506"/>
      <c r="G60" s="506"/>
      <c r="H60" s="506"/>
      <c r="I60" s="506"/>
      <c r="J60" s="506"/>
      <c r="K60" s="506"/>
      <c r="L60" s="506"/>
      <c r="M60" s="506"/>
      <c r="N60" s="506"/>
      <c r="O60" s="506"/>
      <c r="P60" s="506"/>
      <c r="Q60" s="506"/>
      <c r="R60" s="506"/>
      <c r="S60" s="507"/>
      <c r="T60" s="505" t="s">
        <v>195</v>
      </c>
      <c r="U60" s="506"/>
      <c r="V60" s="506"/>
      <c r="W60" s="506"/>
      <c r="X60" s="506"/>
      <c r="Y60" s="506"/>
      <c r="Z60" s="506"/>
      <c r="AA60" s="506"/>
      <c r="AB60" s="506"/>
      <c r="AC60" s="506"/>
      <c r="AD60" s="506"/>
      <c r="AE60" s="506"/>
      <c r="AF60" s="506"/>
      <c r="AG60" s="506"/>
      <c r="AH60" s="506"/>
      <c r="AI60" s="506"/>
      <c r="AJ60" s="507"/>
      <c r="AK60" s="144"/>
    </row>
    <row r="61" spans="1:39" ht="14.25" customHeight="1">
      <c r="C61" s="111"/>
      <c r="D61" s="508"/>
      <c r="E61" s="509"/>
      <c r="F61" s="509"/>
      <c r="G61" s="509"/>
      <c r="H61" s="509"/>
      <c r="I61" s="509"/>
      <c r="J61" s="509"/>
      <c r="K61" s="509"/>
      <c r="L61" s="509"/>
      <c r="M61" s="509"/>
      <c r="N61" s="509"/>
      <c r="O61" s="509"/>
      <c r="P61" s="509"/>
      <c r="Q61" s="509"/>
      <c r="R61" s="509"/>
      <c r="S61" s="510"/>
      <c r="T61" s="508"/>
      <c r="U61" s="509"/>
      <c r="V61" s="509"/>
      <c r="W61" s="509"/>
      <c r="X61" s="509"/>
      <c r="Y61" s="509"/>
      <c r="Z61" s="509"/>
      <c r="AA61" s="509"/>
      <c r="AB61" s="509"/>
      <c r="AC61" s="509"/>
      <c r="AD61" s="509"/>
      <c r="AE61" s="509"/>
      <c r="AF61" s="509"/>
      <c r="AG61" s="509"/>
      <c r="AH61" s="509"/>
      <c r="AI61" s="509"/>
      <c r="AJ61" s="510"/>
      <c r="AK61" s="144"/>
    </row>
    <row r="62" spans="1:39" ht="14.25" customHeight="1">
      <c r="C62" s="111"/>
      <c r="D62" s="718" t="s">
        <v>160</v>
      </c>
      <c r="E62" s="719"/>
      <c r="F62" s="679" t="s">
        <v>196</v>
      </c>
      <c r="G62" s="679"/>
      <c r="H62" s="679"/>
      <c r="I62" s="679"/>
      <c r="J62" s="679"/>
      <c r="K62" s="679"/>
      <c r="L62" s="679"/>
      <c r="M62" s="679"/>
      <c r="N62" s="679"/>
      <c r="O62" s="679"/>
      <c r="P62" s="679" t="s">
        <v>197</v>
      </c>
      <c r="Q62" s="679"/>
      <c r="R62" s="679"/>
      <c r="S62" s="679"/>
      <c r="T62" s="679"/>
      <c r="U62" s="679"/>
      <c r="V62" s="679"/>
      <c r="W62" s="679"/>
      <c r="X62" s="679"/>
      <c r="Y62" s="679"/>
      <c r="Z62" s="679"/>
      <c r="AA62" s="679" t="s">
        <v>198</v>
      </c>
      <c r="AB62" s="679"/>
      <c r="AC62" s="679"/>
      <c r="AD62" s="679"/>
      <c r="AE62" s="679"/>
      <c r="AF62" s="679"/>
      <c r="AG62" s="679"/>
      <c r="AH62" s="679"/>
      <c r="AI62" s="679"/>
      <c r="AJ62" s="679"/>
      <c r="AK62" s="144"/>
    </row>
    <row r="63" spans="1:39" ht="14.25" customHeight="1">
      <c r="C63" s="111"/>
      <c r="D63" s="720"/>
      <c r="E63" s="721"/>
      <c r="F63" s="472" t="s">
        <v>199</v>
      </c>
      <c r="G63" s="473"/>
      <c r="H63" s="473"/>
      <c r="I63" s="473"/>
      <c r="J63" s="473"/>
      <c r="K63" s="473"/>
      <c r="L63" s="473"/>
      <c r="M63" s="473"/>
      <c r="N63" s="473"/>
      <c r="O63" s="474"/>
      <c r="P63" s="472" t="s">
        <v>199</v>
      </c>
      <c r="Q63" s="473"/>
      <c r="R63" s="473"/>
      <c r="S63" s="473"/>
      <c r="T63" s="473"/>
      <c r="U63" s="473"/>
      <c r="V63" s="473"/>
      <c r="W63" s="473"/>
      <c r="X63" s="473"/>
      <c r="Y63" s="473"/>
      <c r="Z63" s="474"/>
      <c r="AA63" s="679" t="s">
        <v>200</v>
      </c>
      <c r="AB63" s="679"/>
      <c r="AC63" s="679"/>
      <c r="AD63" s="679"/>
      <c r="AE63" s="679"/>
      <c r="AF63" s="679"/>
      <c r="AG63" s="679"/>
      <c r="AH63" s="679"/>
      <c r="AI63" s="679"/>
      <c r="AJ63" s="679"/>
      <c r="AK63" s="144"/>
    </row>
    <row r="64" spans="1:39" ht="14.25" customHeight="1">
      <c r="C64" s="111"/>
      <c r="D64" s="720"/>
      <c r="E64" s="721"/>
      <c r="F64" s="680"/>
      <c r="G64" s="476"/>
      <c r="H64" s="476"/>
      <c r="I64" s="476"/>
      <c r="J64" s="476"/>
      <c r="K64" s="476"/>
      <c r="L64" s="476"/>
      <c r="M64" s="476"/>
      <c r="N64" s="476"/>
      <c r="O64" s="477"/>
      <c r="P64" s="680"/>
      <c r="Q64" s="476"/>
      <c r="R64" s="476"/>
      <c r="S64" s="476"/>
      <c r="T64" s="476"/>
      <c r="U64" s="476"/>
      <c r="V64" s="476"/>
      <c r="W64" s="476"/>
      <c r="X64" s="476"/>
      <c r="Y64" s="476"/>
      <c r="Z64" s="477"/>
      <c r="AA64" s="679"/>
      <c r="AB64" s="679"/>
      <c r="AC64" s="679"/>
      <c r="AD64" s="679"/>
      <c r="AE64" s="679"/>
      <c r="AF64" s="679"/>
      <c r="AG64" s="679"/>
      <c r="AH64" s="679"/>
      <c r="AI64" s="679"/>
      <c r="AJ64" s="679"/>
      <c r="AK64" s="144"/>
    </row>
    <row r="65" spans="3:37" ht="14.25" customHeight="1">
      <c r="C65" s="111"/>
      <c r="D65" s="720"/>
      <c r="E65" s="721"/>
      <c r="F65" s="496" t="s">
        <v>201</v>
      </c>
      <c r="G65" s="497"/>
      <c r="H65" s="497"/>
      <c r="I65" s="497"/>
      <c r="J65" s="497"/>
      <c r="K65" s="497"/>
      <c r="L65" s="497"/>
      <c r="M65" s="497"/>
      <c r="N65" s="497"/>
      <c r="O65" s="497"/>
      <c r="P65" s="497"/>
      <c r="Q65" s="497"/>
      <c r="R65" s="497"/>
      <c r="S65" s="497"/>
      <c r="T65" s="497"/>
      <c r="U65" s="497"/>
      <c r="V65" s="497"/>
      <c r="W65" s="497"/>
      <c r="X65" s="497"/>
      <c r="Y65" s="497"/>
      <c r="Z65" s="497"/>
      <c r="AA65" s="497"/>
      <c r="AB65" s="497"/>
      <c r="AC65" s="497"/>
      <c r="AD65" s="497"/>
      <c r="AE65" s="497"/>
      <c r="AF65" s="497"/>
      <c r="AG65" s="497"/>
      <c r="AH65" s="497"/>
      <c r="AI65" s="497"/>
      <c r="AJ65" s="498"/>
      <c r="AK65" s="144"/>
    </row>
    <row r="66" spans="3:37" ht="14.25" customHeight="1">
      <c r="C66" s="111"/>
      <c r="D66" s="720"/>
      <c r="E66" s="721"/>
      <c r="F66" s="505"/>
      <c r="G66" s="506"/>
      <c r="H66" s="506"/>
      <c r="I66" s="506"/>
      <c r="J66" s="506"/>
      <c r="K66" s="506"/>
      <c r="L66" s="506"/>
      <c r="M66" s="506"/>
      <c r="N66" s="506"/>
      <c r="O66" s="506"/>
      <c r="P66" s="506"/>
      <c r="Q66" s="506"/>
      <c r="R66" s="506"/>
      <c r="S66" s="506"/>
      <c r="T66" s="506"/>
      <c r="U66" s="506"/>
      <c r="V66" s="506"/>
      <c r="W66" s="506"/>
      <c r="X66" s="506"/>
      <c r="Y66" s="506"/>
      <c r="Z66" s="506"/>
      <c r="AA66" s="506"/>
      <c r="AB66" s="506"/>
      <c r="AC66" s="506"/>
      <c r="AD66" s="506"/>
      <c r="AE66" s="506"/>
      <c r="AF66" s="506"/>
      <c r="AG66" s="506"/>
      <c r="AH66" s="506"/>
      <c r="AI66" s="506"/>
      <c r="AJ66" s="507"/>
      <c r="AK66" s="144"/>
    </row>
    <row r="67" spans="3:37" ht="14.25" customHeight="1">
      <c r="C67" s="111"/>
      <c r="D67" s="722"/>
      <c r="E67" s="723"/>
      <c r="F67" s="508"/>
      <c r="G67" s="509"/>
      <c r="H67" s="509"/>
      <c r="I67" s="509"/>
      <c r="J67" s="509"/>
      <c r="K67" s="509"/>
      <c r="L67" s="509"/>
      <c r="M67" s="509"/>
      <c r="N67" s="509"/>
      <c r="O67" s="509"/>
      <c r="P67" s="509"/>
      <c r="Q67" s="509"/>
      <c r="R67" s="509"/>
      <c r="S67" s="509"/>
      <c r="T67" s="509"/>
      <c r="U67" s="509"/>
      <c r="V67" s="509"/>
      <c r="W67" s="509"/>
      <c r="X67" s="509"/>
      <c r="Y67" s="509"/>
      <c r="Z67" s="509"/>
      <c r="AA67" s="509"/>
      <c r="AB67" s="509"/>
      <c r="AC67" s="509"/>
      <c r="AD67" s="509"/>
      <c r="AE67" s="509"/>
      <c r="AF67" s="509"/>
      <c r="AG67" s="509"/>
      <c r="AH67" s="509"/>
      <c r="AI67" s="509"/>
      <c r="AJ67" s="510"/>
      <c r="AK67" s="144"/>
    </row>
    <row r="68" spans="3:37" ht="14.25" customHeight="1">
      <c r="C68" s="111"/>
      <c r="D68" s="125" t="s">
        <v>144</v>
      </c>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44"/>
    </row>
    <row r="69" spans="3:37" ht="6.75" customHeight="1">
      <c r="C69" s="145"/>
      <c r="D69" s="137"/>
      <c r="E69" s="137"/>
      <c r="F69" s="137"/>
      <c r="G69" s="137"/>
      <c r="H69" s="137"/>
      <c r="I69" s="137"/>
      <c r="J69" s="137"/>
      <c r="K69" s="137"/>
      <c r="L69" s="137"/>
      <c r="M69" s="137"/>
      <c r="N69" s="137"/>
      <c r="O69" s="137"/>
      <c r="P69" s="137"/>
      <c r="Q69" s="137"/>
      <c r="R69" s="137"/>
      <c r="S69" s="137"/>
      <c r="T69" s="137"/>
      <c r="U69" s="137"/>
      <c r="V69" s="137"/>
      <c r="W69" s="137"/>
      <c r="X69" s="137"/>
      <c r="Y69" s="137"/>
      <c r="Z69" s="137"/>
      <c r="AA69" s="137"/>
      <c r="AB69" s="137"/>
      <c r="AC69" s="137"/>
      <c r="AD69" s="137"/>
      <c r="AE69" s="137"/>
      <c r="AF69" s="137"/>
      <c r="AG69" s="137"/>
      <c r="AH69" s="137"/>
      <c r="AI69" s="137"/>
      <c r="AJ69" s="137"/>
      <c r="AK69" s="147"/>
    </row>
    <row r="70" spans="3:37" ht="6.75" customHeight="1">
      <c r="D70" s="183"/>
      <c r="E70" s="183"/>
      <c r="F70" s="183"/>
      <c r="G70" s="183"/>
      <c r="H70" s="183"/>
      <c r="I70" s="183"/>
      <c r="J70" s="183"/>
      <c r="K70" s="183"/>
      <c r="L70" s="183"/>
      <c r="M70" s="183"/>
      <c r="N70" s="183"/>
      <c r="O70" s="183"/>
      <c r="P70" s="183"/>
      <c r="Q70" s="183"/>
      <c r="R70" s="183"/>
      <c r="S70" s="183"/>
      <c r="T70" s="183"/>
      <c r="U70" s="183"/>
      <c r="V70" s="183"/>
      <c r="W70" s="183"/>
      <c r="X70" s="183"/>
      <c r="Y70" s="183"/>
      <c r="Z70" s="183"/>
      <c r="AA70" s="183"/>
      <c r="AB70" s="183"/>
      <c r="AC70" s="183"/>
      <c r="AD70" s="183"/>
      <c r="AE70" s="183"/>
      <c r="AF70" s="183"/>
      <c r="AG70" s="183"/>
      <c r="AH70" s="183"/>
      <c r="AI70" s="183"/>
      <c r="AJ70" s="183"/>
    </row>
    <row r="71" spans="3:37" ht="14.25" customHeight="1">
      <c r="D71" s="183"/>
      <c r="E71" s="183"/>
      <c r="F71" s="183"/>
      <c r="G71" s="183"/>
      <c r="H71" s="183"/>
      <c r="I71" s="183"/>
      <c r="J71" s="183"/>
      <c r="K71" s="183"/>
      <c r="L71" s="183"/>
      <c r="M71" s="183"/>
      <c r="N71" s="183"/>
      <c r="O71" s="183"/>
      <c r="P71" s="183"/>
      <c r="Q71" s="183"/>
      <c r="R71" s="183"/>
      <c r="S71" s="183"/>
      <c r="T71" s="183"/>
      <c r="U71" s="183"/>
      <c r="V71" s="183"/>
      <c r="W71" s="183"/>
      <c r="X71" s="183"/>
      <c r="Y71" s="183"/>
      <c r="Z71" s="183"/>
      <c r="AA71" s="183"/>
      <c r="AB71" s="183"/>
      <c r="AC71" s="183"/>
      <c r="AD71" s="183"/>
      <c r="AE71" s="183"/>
      <c r="AF71" s="183"/>
      <c r="AG71" s="183"/>
      <c r="AH71" s="183"/>
      <c r="AI71" s="183"/>
      <c r="AJ71" s="183"/>
    </row>
    <row r="72" spans="3:37" ht="14.25" customHeight="1">
      <c r="D72" s="183"/>
      <c r="E72" s="183"/>
      <c r="F72" s="183"/>
      <c r="G72" s="183"/>
      <c r="H72" s="183"/>
      <c r="I72" s="183"/>
      <c r="J72" s="183"/>
      <c r="K72" s="183"/>
      <c r="L72" s="183"/>
      <c r="M72" s="183"/>
      <c r="N72" s="183"/>
      <c r="O72" s="183"/>
      <c r="P72" s="183"/>
      <c r="Q72" s="183"/>
      <c r="R72" s="183"/>
      <c r="S72" s="183"/>
      <c r="T72" s="183"/>
      <c r="U72" s="183"/>
      <c r="V72" s="183"/>
      <c r="W72" s="183"/>
      <c r="X72" s="183"/>
      <c r="Y72" s="183"/>
      <c r="Z72" s="183"/>
      <c r="AA72" s="183"/>
      <c r="AB72" s="183"/>
      <c r="AC72" s="183"/>
      <c r="AD72" s="183"/>
      <c r="AE72" s="183"/>
      <c r="AF72" s="183"/>
      <c r="AG72" s="183"/>
      <c r="AH72" s="183"/>
      <c r="AI72" s="183"/>
      <c r="AJ72" s="183"/>
    </row>
    <row r="73" spans="3:37" ht="14.25" customHeight="1">
      <c r="D73" s="183"/>
      <c r="E73" s="183"/>
      <c r="F73" s="183"/>
      <c r="G73" s="183"/>
      <c r="H73" s="183"/>
      <c r="I73" s="183"/>
      <c r="J73" s="183"/>
      <c r="K73" s="183"/>
      <c r="L73" s="183"/>
      <c r="M73" s="183"/>
      <c r="N73" s="183"/>
      <c r="O73" s="183"/>
      <c r="P73" s="183"/>
      <c r="Q73" s="183"/>
      <c r="R73" s="183"/>
      <c r="S73" s="183"/>
      <c r="T73" s="183"/>
      <c r="U73" s="183"/>
      <c r="V73" s="183"/>
      <c r="W73" s="183"/>
      <c r="X73" s="183"/>
      <c r="Y73" s="183"/>
      <c r="Z73" s="183"/>
      <c r="AA73" s="183"/>
      <c r="AB73" s="183"/>
      <c r="AC73" s="183"/>
      <c r="AD73" s="183"/>
      <c r="AE73" s="183"/>
      <c r="AF73" s="183"/>
      <c r="AG73" s="183"/>
      <c r="AH73" s="183"/>
      <c r="AI73" s="183"/>
      <c r="AJ73" s="183"/>
    </row>
    <row r="74" spans="3:37" ht="14.25" customHeight="1">
      <c r="D74" s="183"/>
      <c r="E74" s="183"/>
      <c r="F74" s="183"/>
      <c r="G74" s="183"/>
      <c r="H74" s="183"/>
      <c r="I74" s="183"/>
      <c r="J74" s="183"/>
      <c r="K74" s="183"/>
      <c r="L74" s="183"/>
      <c r="M74" s="183"/>
      <c r="N74" s="183"/>
      <c r="O74" s="183"/>
      <c r="P74" s="183"/>
      <c r="Q74" s="183"/>
      <c r="R74" s="183"/>
      <c r="S74" s="183"/>
      <c r="T74" s="183"/>
      <c r="U74" s="183"/>
      <c r="V74" s="183"/>
      <c r="W74" s="183"/>
      <c r="X74" s="183"/>
      <c r="Y74" s="183"/>
      <c r="Z74" s="183"/>
      <c r="AA74" s="183"/>
      <c r="AB74" s="183"/>
      <c r="AC74" s="183"/>
      <c r="AD74" s="183"/>
      <c r="AE74" s="183"/>
      <c r="AF74" s="183"/>
      <c r="AG74" s="183"/>
      <c r="AH74" s="183"/>
      <c r="AI74" s="183"/>
      <c r="AJ74" s="183"/>
    </row>
    <row r="75" spans="3:37" ht="14.25" customHeight="1"/>
    <row r="76" spans="3:37" ht="14.25" customHeight="1"/>
    <row r="77" spans="3:37" ht="14.25" customHeight="1"/>
    <row r="80" spans="3:37">
      <c r="D80" s="112"/>
      <c r="E80" s="112"/>
      <c r="F80" s="112"/>
      <c r="G80" s="112"/>
      <c r="H80" s="112"/>
      <c r="I80" s="112"/>
      <c r="J80" s="112"/>
      <c r="K80" s="112"/>
      <c r="L80" s="112"/>
      <c r="M80" s="112"/>
      <c r="N80" s="112"/>
      <c r="O80" s="112"/>
      <c r="P80" s="112"/>
      <c r="Q80" s="112"/>
      <c r="R80" s="112"/>
      <c r="S80" s="112"/>
      <c r="T80" s="112"/>
      <c r="U80" s="112"/>
      <c r="V80" s="112"/>
      <c r="W80" s="112"/>
      <c r="X80" s="112"/>
    </row>
    <row r="81" spans="4:24">
      <c r="D81" s="184"/>
      <c r="E81" s="160"/>
      <c r="F81" s="160"/>
      <c r="G81" s="160"/>
      <c r="H81" s="160"/>
      <c r="I81" s="160"/>
      <c r="J81" s="160"/>
      <c r="K81" s="160"/>
      <c r="L81" s="160"/>
      <c r="M81" s="160"/>
      <c r="N81" s="160"/>
      <c r="O81" s="160"/>
      <c r="P81" s="160"/>
      <c r="Q81" s="160"/>
      <c r="R81" s="160"/>
      <c r="S81" s="160"/>
      <c r="T81" s="160"/>
      <c r="U81" s="160"/>
      <c r="V81" s="160"/>
      <c r="W81" s="112"/>
      <c r="X81" s="112"/>
    </row>
    <row r="82" spans="4:24" ht="13">
      <c r="D82" s="574"/>
      <c r="E82" s="714"/>
      <c r="F82" s="714"/>
      <c r="G82" s="714"/>
      <c r="H82" s="714"/>
      <c r="I82" s="714"/>
      <c r="J82" s="714"/>
      <c r="K82" s="714"/>
      <c r="L82" s="714"/>
      <c r="M82" s="714"/>
      <c r="N82" s="574"/>
      <c r="O82" s="715"/>
      <c r="P82" s="715"/>
      <c r="Q82" s="715"/>
      <c r="R82" s="715"/>
      <c r="S82" s="715"/>
      <c r="T82" s="715"/>
      <c r="U82" s="715"/>
      <c r="V82" s="715"/>
      <c r="W82" s="112"/>
      <c r="X82" s="112"/>
    </row>
    <row r="83" spans="4:24">
      <c r="D83" s="716"/>
      <c r="E83" s="715"/>
      <c r="F83" s="715"/>
      <c r="G83" s="715"/>
      <c r="H83" s="715"/>
      <c r="I83" s="715"/>
      <c r="J83" s="715"/>
      <c r="K83" s="715"/>
      <c r="L83" s="715"/>
      <c r="M83" s="715"/>
      <c r="N83" s="574"/>
      <c r="O83" s="715"/>
      <c r="P83" s="715"/>
      <c r="Q83" s="715"/>
      <c r="R83" s="715"/>
      <c r="S83" s="715"/>
      <c r="T83" s="715"/>
      <c r="U83" s="715"/>
      <c r="V83" s="715"/>
      <c r="W83" s="112"/>
      <c r="X83" s="112"/>
    </row>
    <row r="84" spans="4:24">
      <c r="D84" s="715"/>
      <c r="E84" s="715"/>
      <c r="F84" s="715"/>
      <c r="G84" s="715"/>
      <c r="H84" s="715"/>
      <c r="I84" s="715"/>
      <c r="J84" s="715"/>
      <c r="K84" s="715"/>
      <c r="L84" s="715"/>
      <c r="M84" s="715"/>
      <c r="N84" s="715"/>
      <c r="O84" s="715"/>
      <c r="P84" s="715"/>
      <c r="Q84" s="715"/>
      <c r="R84" s="715"/>
      <c r="S84" s="715"/>
      <c r="T84" s="715"/>
      <c r="U84" s="715"/>
      <c r="V84" s="715"/>
      <c r="W84" s="112"/>
      <c r="X84" s="112"/>
    </row>
    <row r="85" spans="4:24" ht="13">
      <c r="D85" s="576"/>
      <c r="E85" s="574"/>
      <c r="F85" s="574"/>
      <c r="G85" s="574"/>
      <c r="H85" s="574"/>
      <c r="I85" s="574"/>
      <c r="J85" s="574"/>
      <c r="K85" s="574"/>
      <c r="L85" s="715"/>
      <c r="M85" s="715"/>
      <c r="N85" s="715"/>
      <c r="O85" s="715"/>
      <c r="P85" s="715"/>
      <c r="Q85" s="715"/>
      <c r="R85" s="574"/>
      <c r="S85" s="715"/>
      <c r="T85" s="715"/>
      <c r="U85" s="715"/>
      <c r="V85" s="715"/>
      <c r="W85" s="112"/>
      <c r="X85" s="112"/>
    </row>
    <row r="86" spans="4:24" ht="13">
      <c r="D86" s="576"/>
      <c r="E86" s="185"/>
      <c r="F86" s="203"/>
      <c r="G86" s="203"/>
      <c r="H86" s="203"/>
      <c r="I86" s="203"/>
      <c r="J86" s="203"/>
      <c r="K86" s="185"/>
      <c r="L86" s="204"/>
      <c r="M86" s="204"/>
      <c r="N86" s="206"/>
      <c r="O86" s="205"/>
      <c r="P86" s="205"/>
      <c r="Q86" s="205"/>
      <c r="R86" s="717"/>
      <c r="S86" s="715"/>
      <c r="T86" s="715"/>
      <c r="U86" s="715"/>
      <c r="V86" s="715"/>
      <c r="W86" s="112"/>
      <c r="X86" s="112"/>
    </row>
    <row r="87" spans="4:24" ht="13">
      <c r="D87" s="576"/>
      <c r="E87" s="185"/>
      <c r="F87" s="203"/>
      <c r="G87" s="203"/>
      <c r="H87" s="203"/>
      <c r="I87" s="203"/>
      <c r="J87" s="203"/>
      <c r="K87" s="185"/>
      <c r="L87" s="204"/>
      <c r="M87" s="204"/>
      <c r="N87" s="206"/>
      <c r="O87" s="205"/>
      <c r="P87" s="205"/>
      <c r="Q87" s="205"/>
      <c r="R87" s="715"/>
      <c r="S87" s="715"/>
      <c r="T87" s="715"/>
      <c r="U87" s="715"/>
      <c r="V87" s="715"/>
      <c r="W87" s="112"/>
      <c r="X87" s="112"/>
    </row>
    <row r="88" spans="4:24">
      <c r="D88" s="576"/>
      <c r="E88" s="574"/>
      <c r="F88" s="574"/>
      <c r="G88" s="574"/>
      <c r="H88" s="574"/>
      <c r="I88" s="574"/>
      <c r="J88" s="574"/>
      <c r="K88" s="574"/>
      <c r="L88" s="574"/>
      <c r="M88" s="574"/>
      <c r="N88" s="574"/>
      <c r="O88" s="574"/>
      <c r="P88" s="574"/>
      <c r="Q88" s="574"/>
      <c r="R88" s="574"/>
      <c r="S88" s="574"/>
      <c r="T88" s="574"/>
      <c r="U88" s="574"/>
      <c r="V88" s="574"/>
      <c r="W88" s="112"/>
      <c r="X88" s="112"/>
    </row>
    <row r="89" spans="4:24">
      <c r="D89" s="576"/>
      <c r="E89" s="714"/>
      <c r="F89" s="714"/>
      <c r="G89" s="714"/>
      <c r="H89" s="714"/>
      <c r="I89" s="714"/>
      <c r="J89" s="714"/>
      <c r="K89" s="714"/>
      <c r="L89" s="714"/>
      <c r="M89" s="714"/>
      <c r="N89" s="714"/>
      <c r="O89" s="714"/>
      <c r="P89" s="714"/>
      <c r="Q89" s="714"/>
      <c r="R89" s="714"/>
      <c r="S89" s="714"/>
      <c r="T89" s="714"/>
      <c r="U89" s="714"/>
      <c r="V89" s="714"/>
      <c r="W89" s="112"/>
      <c r="X89" s="112"/>
    </row>
    <row r="90" spans="4:24">
      <c r="D90" s="576"/>
      <c r="E90" s="714"/>
      <c r="F90" s="714"/>
      <c r="G90" s="714"/>
      <c r="H90" s="714"/>
      <c r="I90" s="714"/>
      <c r="J90" s="714"/>
      <c r="K90" s="714"/>
      <c r="L90" s="714"/>
      <c r="M90" s="714"/>
      <c r="N90" s="714"/>
      <c r="O90" s="714"/>
      <c r="P90" s="714"/>
      <c r="Q90" s="714"/>
      <c r="R90" s="714"/>
      <c r="S90" s="714"/>
      <c r="T90" s="714"/>
      <c r="U90" s="714"/>
      <c r="V90" s="714"/>
      <c r="W90" s="112"/>
      <c r="X90" s="112"/>
    </row>
    <row r="91" spans="4:24">
      <c r="D91" s="112"/>
      <c r="E91" s="112"/>
      <c r="F91" s="112"/>
      <c r="G91" s="112"/>
      <c r="H91" s="112"/>
      <c r="I91" s="112"/>
      <c r="J91" s="112"/>
      <c r="K91" s="112"/>
      <c r="L91" s="112"/>
      <c r="M91" s="112"/>
      <c r="N91" s="112"/>
      <c r="O91" s="112"/>
      <c r="P91" s="112"/>
      <c r="Q91" s="112"/>
      <c r="R91" s="112"/>
      <c r="S91" s="112"/>
      <c r="T91" s="112"/>
      <c r="U91" s="112"/>
      <c r="V91" s="112"/>
      <c r="W91" s="112"/>
      <c r="X91" s="112"/>
    </row>
    <row r="92" spans="4:24">
      <c r="D92" s="112"/>
      <c r="E92" s="112"/>
      <c r="F92" s="112"/>
      <c r="G92" s="112"/>
      <c r="H92" s="112"/>
      <c r="I92" s="112"/>
      <c r="J92" s="112"/>
      <c r="K92" s="112"/>
      <c r="L92" s="112"/>
      <c r="M92" s="112"/>
      <c r="N92" s="112"/>
      <c r="O92" s="112"/>
      <c r="P92" s="112"/>
      <c r="Q92" s="112"/>
      <c r="R92" s="112"/>
      <c r="S92" s="112"/>
      <c r="T92" s="112"/>
      <c r="U92" s="112"/>
      <c r="V92" s="112"/>
      <c r="W92" s="112"/>
      <c r="X92" s="112"/>
    </row>
    <row r="93" spans="4:24">
      <c r="D93" s="112"/>
      <c r="E93" s="112"/>
      <c r="F93" s="112"/>
      <c r="G93" s="112"/>
      <c r="H93" s="112"/>
      <c r="I93" s="112"/>
      <c r="J93" s="112"/>
      <c r="K93" s="112"/>
      <c r="L93" s="112"/>
      <c r="M93" s="112"/>
      <c r="N93" s="112"/>
      <c r="O93" s="112"/>
      <c r="P93" s="112"/>
      <c r="Q93" s="112"/>
      <c r="R93" s="112"/>
      <c r="S93" s="112"/>
      <c r="T93" s="112"/>
      <c r="U93" s="112"/>
      <c r="V93" s="112"/>
      <c r="W93" s="112"/>
      <c r="X93" s="112"/>
    </row>
    <row r="94" spans="4:24">
      <c r="D94" s="112"/>
      <c r="E94" s="112"/>
      <c r="F94" s="112"/>
      <c r="G94" s="112"/>
      <c r="H94" s="112"/>
      <c r="I94" s="112"/>
      <c r="J94" s="112"/>
      <c r="K94" s="112"/>
      <c r="L94" s="112"/>
      <c r="M94" s="112"/>
      <c r="N94" s="112"/>
      <c r="O94" s="112"/>
      <c r="P94" s="112"/>
      <c r="Q94" s="112"/>
      <c r="R94" s="112"/>
      <c r="S94" s="112"/>
      <c r="T94" s="112"/>
      <c r="U94" s="112"/>
      <c r="V94" s="112"/>
      <c r="W94" s="112"/>
      <c r="X94" s="112"/>
    </row>
    <row r="95" spans="4:24">
      <c r="D95" s="112"/>
      <c r="E95" s="112"/>
      <c r="F95" s="112"/>
      <c r="G95" s="112"/>
      <c r="H95" s="112"/>
      <c r="I95" s="112"/>
      <c r="J95" s="112"/>
      <c r="K95" s="112"/>
      <c r="L95" s="112"/>
      <c r="M95" s="112"/>
      <c r="N95" s="112"/>
      <c r="O95" s="112"/>
      <c r="P95" s="112"/>
      <c r="Q95" s="112"/>
      <c r="R95" s="112"/>
      <c r="S95" s="112"/>
      <c r="T95" s="112"/>
      <c r="U95" s="112"/>
      <c r="V95" s="112"/>
      <c r="W95" s="112"/>
      <c r="X95" s="112"/>
    </row>
  </sheetData>
  <customSheetViews>
    <customSheetView guid="{A35F5B98-9B94-4847-B111-5994565B2C90}" scale="60" showPageBreaks="1" printArea="1" view="pageBreakPreview">
      <selection activeCell="H14" sqref="H14:AJ15"/>
      <pageMargins left="0.7" right="0.7" top="0.75" bottom="0.75" header="0.3" footer="0.3"/>
      <pageSetup paperSize="9" scale="78" orientation="portrait" r:id="rId1"/>
    </customSheetView>
    <customSheetView guid="{B49FCE62-7203-4C34-A051-738DE884AD97}" scale="60" showPageBreaks="1" printArea="1" view="pageBreakPreview">
      <selection activeCell="H14" sqref="H14:AJ15"/>
      <pageMargins left="0.7" right="0.7" top="0.75" bottom="0.75" header="0.3" footer="0.3"/>
      <pageSetup paperSize="9" scale="78" orientation="portrait" r:id="rId2"/>
    </customSheetView>
  </customSheetViews>
  <mergeCells count="72">
    <mergeCell ref="J4:AD7"/>
    <mergeCell ref="AD9:AJ9"/>
    <mergeCell ref="D10:G11"/>
    <mergeCell ref="H10:O11"/>
    <mergeCell ref="P10:S11"/>
    <mergeCell ref="T10:AC11"/>
    <mergeCell ref="AD10:AF11"/>
    <mergeCell ref="AG10:AJ11"/>
    <mergeCell ref="D12:G13"/>
    <mergeCell ref="H12:AJ13"/>
    <mergeCell ref="D14:G15"/>
    <mergeCell ref="H14:AJ15"/>
    <mergeCell ref="D16:G17"/>
    <mergeCell ref="H16:AJ17"/>
    <mergeCell ref="D32:L33"/>
    <mergeCell ref="M32:W33"/>
    <mergeCell ref="X32:AD33"/>
    <mergeCell ref="D18:G19"/>
    <mergeCell ref="H18:AJ19"/>
    <mergeCell ref="D23:I24"/>
    <mergeCell ref="J23:U24"/>
    <mergeCell ref="V23:AA24"/>
    <mergeCell ref="AB23:AJ24"/>
    <mergeCell ref="D25:I26"/>
    <mergeCell ref="J25:AJ26"/>
    <mergeCell ref="D27:I28"/>
    <mergeCell ref="J27:AJ28"/>
    <mergeCell ref="D30:AJ30"/>
    <mergeCell ref="D35:AJ35"/>
    <mergeCell ref="D37:L38"/>
    <mergeCell ref="M37:W38"/>
    <mergeCell ref="X37:AD38"/>
    <mergeCell ref="D41:I42"/>
    <mergeCell ref="J41:U42"/>
    <mergeCell ref="V41:AJ41"/>
    <mergeCell ref="D59:S59"/>
    <mergeCell ref="T59:AJ59"/>
    <mergeCell ref="D45:I46"/>
    <mergeCell ref="J45:N46"/>
    <mergeCell ref="O45:U46"/>
    <mergeCell ref="E48:AJ48"/>
    <mergeCell ref="D50:G51"/>
    <mergeCell ref="H50:W51"/>
    <mergeCell ref="X50:AC51"/>
    <mergeCell ref="AD50:AJ51"/>
    <mergeCell ref="D52:G53"/>
    <mergeCell ref="H52:AJ53"/>
    <mergeCell ref="D54:G55"/>
    <mergeCell ref="H54:AJ55"/>
    <mergeCell ref="D56:AJ56"/>
    <mergeCell ref="D60:S61"/>
    <mergeCell ref="T60:AJ61"/>
    <mergeCell ref="D62:E67"/>
    <mergeCell ref="F62:O62"/>
    <mergeCell ref="P62:Z62"/>
    <mergeCell ref="AA62:AJ62"/>
    <mergeCell ref="F63:O64"/>
    <mergeCell ref="P63:Z64"/>
    <mergeCell ref="AA63:AJ64"/>
    <mergeCell ref="F65:AJ65"/>
    <mergeCell ref="E88:V88"/>
    <mergeCell ref="E89:V90"/>
    <mergeCell ref="F66:AJ67"/>
    <mergeCell ref="D82:M82"/>
    <mergeCell ref="N82:V82"/>
    <mergeCell ref="D83:M84"/>
    <mergeCell ref="N83:V84"/>
    <mergeCell ref="D85:D90"/>
    <mergeCell ref="E85:J85"/>
    <mergeCell ref="K85:Q85"/>
    <mergeCell ref="R85:V85"/>
    <mergeCell ref="R86:V87"/>
  </mergeCells>
  <phoneticPr fontId="18"/>
  <pageMargins left="0.7" right="0.7" top="0.75" bottom="0.75" header="0.3" footer="0.3"/>
  <pageSetup paperSize="9" scale="68"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7</vt:i4>
      </vt:variant>
    </vt:vector>
  </HeadingPairs>
  <TitlesOfParts>
    <vt:vector size="15" baseType="lpstr">
      <vt:lpstr>証明書</vt:lpstr>
      <vt:lpstr>印鑑</vt:lpstr>
      <vt:lpstr>マイナ暗証</vt:lpstr>
      <vt:lpstr>電子更新・新規</vt:lpstr>
      <vt:lpstr>マイナ紛失</vt:lpstr>
      <vt:lpstr>通知カード紛失</vt:lpstr>
      <vt:lpstr>マイナ券面（異動翌日以降）</vt:lpstr>
      <vt:lpstr>マイナ券面（異動日）</vt:lpstr>
      <vt:lpstr>マイナ暗証!Print_Area</vt:lpstr>
      <vt:lpstr>'マイナ券面（異動日）'!Print_Area</vt:lpstr>
      <vt:lpstr>'マイナ券面（異動翌日以降）'!Print_Area</vt:lpstr>
      <vt:lpstr>マイナ紛失!Print_Area</vt:lpstr>
      <vt:lpstr>印鑑!Print_Area</vt:lpstr>
      <vt:lpstr>証明書!Print_Area</vt:lpstr>
      <vt:lpstr>電子更新・新規!Print_Area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2024-08-26T08:07:45Z</dcterms:created>
  <dcterms:modified xsi:type="dcterms:W3CDTF">2026-10-21T09:58:02Z</dcterms:modified>
</cp:coreProperties>
</file>